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athi\Dropbox\cove\ETC\WP3\SoilMonitoringLaw\Register\"/>
    </mc:Choice>
  </mc:AlternateContent>
  <xr:revisionPtr revIDLastSave="0" documentId="13_ncr:1_{EE4205CE-AFA4-4F18-B783-B51A920606E0}" xr6:coauthVersionLast="47" xr6:coauthVersionMax="47" xr10:uidLastSave="{00000000-0000-0000-0000-000000000000}"/>
  <bookViews>
    <workbookView xWindow="2040" yWindow="3045" windowWidth="21600" windowHeight="11385" xr2:uid="{B2BBB3FD-8823-4B73-9DE9-A726C400862C}"/>
  </bookViews>
  <sheets>
    <sheet name="Top Concept" sheetId="4" r:id="rId1"/>
    <sheet name="Properties Valid" sheetId="16" r:id="rId2"/>
    <sheet name="Methods" sheetId="15" r:id="rId3"/>
    <sheet name="Collections" sheetId="10" r:id="rId4"/>
    <sheet name="Sheet7" sheetId="7" r:id="rId5"/>
    <sheet name="Sheet6" sheetId="6" r:id="rId6"/>
    <sheet name="Sheet5" sheetId="5" r:id="rId7"/>
    <sheet name="Methods List" sheetId="13" r:id="rId8"/>
    <sheet name="Soil Properties List" sheetId="1" r:id="rId9"/>
    <sheet name="Properties All" sheetId="12" r:id="rId10"/>
  </sheets>
  <definedNames>
    <definedName name="_xlnm._FilterDatabase" localSheetId="7" hidden="1">'Methods List'!$V$1:$V$20</definedName>
    <definedName name="_xlnm._FilterDatabase" localSheetId="9" hidden="1">'Properties All'!$K$1:$N$70</definedName>
    <definedName name="_xlnm._FilterDatabase" localSheetId="8" hidden="1">'Soil Properties List'!$F$1:$F$1000</definedName>
  </definedNames>
  <calcPr calcId="191029"/>
  <pivotCaches>
    <pivotCache cacheId="18" r:id="rId11"/>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 i="13" l="1"/>
  <c r="C5" i="13"/>
  <c r="C6" i="13"/>
  <c r="C7" i="13"/>
  <c r="C8" i="13"/>
  <c r="C9" i="13"/>
  <c r="C10" i="13"/>
  <c r="C11" i="13"/>
  <c r="C12" i="13"/>
  <c r="C13" i="13"/>
  <c r="C14" i="13"/>
  <c r="C15" i="13"/>
  <c r="C16" i="13"/>
  <c r="C17" i="13"/>
  <c r="C18" i="13"/>
  <c r="C19" i="13"/>
  <c r="C20" i="13"/>
  <c r="C2" i="13"/>
  <c r="C3" i="13"/>
  <c r="N70" i="12" l="1"/>
  <c r="M70" i="12"/>
  <c r="L70" i="12"/>
  <c r="K70" i="12"/>
  <c r="N69" i="12"/>
  <c r="M69" i="12"/>
  <c r="L69" i="12"/>
  <c r="K69" i="12"/>
  <c r="N68" i="12"/>
  <c r="M68" i="12"/>
  <c r="L68" i="12"/>
  <c r="K68" i="12"/>
  <c r="N67" i="12"/>
  <c r="M67" i="12"/>
  <c r="L67" i="12"/>
  <c r="K67" i="12"/>
  <c r="N66" i="12"/>
  <c r="M66" i="12"/>
  <c r="L66" i="12"/>
  <c r="K66" i="12"/>
  <c r="N65" i="12"/>
  <c r="M65" i="12"/>
  <c r="L65" i="12"/>
  <c r="K65" i="12"/>
  <c r="N64" i="12"/>
  <c r="M64" i="12"/>
  <c r="L64" i="12"/>
  <c r="K64" i="12"/>
  <c r="N63" i="12"/>
  <c r="M63" i="12"/>
  <c r="L63" i="12"/>
  <c r="K63" i="12"/>
  <c r="N62" i="12"/>
  <c r="M62" i="12"/>
  <c r="L62" i="12"/>
  <c r="K62" i="12"/>
  <c r="N61" i="12"/>
  <c r="M61" i="12"/>
  <c r="L61" i="12"/>
  <c r="K61" i="12"/>
  <c r="N60" i="12"/>
  <c r="M60" i="12"/>
  <c r="L60" i="12"/>
  <c r="K60" i="12"/>
  <c r="N59" i="12"/>
  <c r="M59" i="12"/>
  <c r="L59" i="12"/>
  <c r="K59" i="12"/>
  <c r="N58" i="12"/>
  <c r="M58" i="12"/>
  <c r="L58" i="12"/>
  <c r="K58" i="12"/>
  <c r="N57" i="12"/>
  <c r="M57" i="12"/>
  <c r="L57" i="12"/>
  <c r="K57" i="12"/>
  <c r="N56" i="12"/>
  <c r="M56" i="12"/>
  <c r="L56" i="12"/>
  <c r="K56" i="12"/>
  <c r="N55" i="12"/>
  <c r="M55" i="12"/>
  <c r="L55" i="12"/>
  <c r="K55" i="12"/>
  <c r="N54" i="12"/>
  <c r="M54" i="12"/>
  <c r="L54" i="12"/>
  <c r="K54" i="12"/>
  <c r="N53" i="12"/>
  <c r="M53" i="12"/>
  <c r="L53" i="12"/>
  <c r="K53" i="12"/>
  <c r="N52" i="12"/>
  <c r="M52" i="12"/>
  <c r="L52" i="12"/>
  <c r="K52" i="12"/>
  <c r="N51" i="12"/>
  <c r="M51" i="12"/>
  <c r="L51" i="12"/>
  <c r="K51" i="12"/>
  <c r="N50" i="12"/>
  <c r="M50" i="12"/>
  <c r="L50" i="12"/>
  <c r="K50" i="12"/>
  <c r="N49" i="12"/>
  <c r="M49" i="12"/>
  <c r="L49" i="12"/>
  <c r="K49" i="12"/>
  <c r="N48" i="12"/>
  <c r="M48" i="12"/>
  <c r="L48" i="12"/>
  <c r="K48" i="12"/>
  <c r="N47" i="12"/>
  <c r="M47" i="12"/>
  <c r="L47" i="12"/>
  <c r="K47" i="12"/>
  <c r="N46" i="12"/>
  <c r="M46" i="12"/>
  <c r="L46" i="12"/>
  <c r="K46" i="12"/>
  <c r="N45" i="12"/>
  <c r="M45" i="12"/>
  <c r="L45" i="12"/>
  <c r="K45" i="12"/>
  <c r="N44" i="12"/>
  <c r="M44" i="12"/>
  <c r="L44" i="12"/>
  <c r="K44" i="12"/>
  <c r="N43" i="12"/>
  <c r="M43" i="12"/>
  <c r="L43" i="12"/>
  <c r="K43" i="12"/>
  <c r="N42" i="12"/>
  <c r="M42" i="12"/>
  <c r="L42" i="12"/>
  <c r="K42" i="12"/>
  <c r="N41" i="12"/>
  <c r="M41" i="12"/>
  <c r="L41" i="12"/>
  <c r="K41" i="12"/>
  <c r="N40" i="12"/>
  <c r="M40" i="12"/>
  <c r="L40" i="12"/>
  <c r="K40" i="12"/>
  <c r="N39" i="12"/>
  <c r="M39" i="12"/>
  <c r="L39" i="12"/>
  <c r="K39" i="12"/>
  <c r="N38" i="12"/>
  <c r="M38" i="12"/>
  <c r="L38" i="12"/>
  <c r="K38" i="12"/>
  <c r="N37" i="12"/>
  <c r="M37" i="12"/>
  <c r="L37" i="12"/>
  <c r="K37" i="12"/>
  <c r="N36" i="12"/>
  <c r="M36" i="12"/>
  <c r="L36" i="12"/>
  <c r="K36" i="12"/>
  <c r="N35" i="12"/>
  <c r="M35" i="12"/>
  <c r="L35" i="12"/>
  <c r="K35" i="12"/>
  <c r="N34" i="12"/>
  <c r="M34" i="12"/>
  <c r="L34" i="12"/>
  <c r="K34" i="12"/>
  <c r="N33" i="12"/>
  <c r="M33" i="12"/>
  <c r="L33" i="12"/>
  <c r="K33" i="12"/>
  <c r="N32" i="12"/>
  <c r="M32" i="12"/>
  <c r="L32" i="12"/>
  <c r="K32" i="12"/>
  <c r="N31" i="12"/>
  <c r="M31" i="12"/>
  <c r="L31" i="12"/>
  <c r="K31" i="12"/>
  <c r="N30" i="12"/>
  <c r="M30" i="12"/>
  <c r="L30" i="12"/>
  <c r="K30" i="12"/>
  <c r="N29" i="12"/>
  <c r="M29" i="12"/>
  <c r="L29" i="12"/>
  <c r="K29" i="12"/>
  <c r="N28" i="12"/>
  <c r="M28" i="12"/>
  <c r="L28" i="12"/>
  <c r="K28" i="12"/>
  <c r="N27" i="12"/>
  <c r="M27" i="12"/>
  <c r="L27" i="12"/>
  <c r="K27" i="12"/>
  <c r="N26" i="12"/>
  <c r="M26" i="12"/>
  <c r="L26" i="12"/>
  <c r="K26" i="12"/>
  <c r="N25" i="12"/>
  <c r="L25" i="12"/>
  <c r="N24" i="12"/>
  <c r="L24" i="12"/>
  <c r="N23" i="12"/>
  <c r="M23" i="12"/>
  <c r="L23" i="12"/>
  <c r="K23" i="12"/>
  <c r="N22" i="12"/>
  <c r="M22" i="12"/>
  <c r="L22" i="12"/>
  <c r="K22" i="12"/>
  <c r="N21" i="12"/>
  <c r="M21" i="12"/>
  <c r="L21" i="12"/>
  <c r="K21" i="12"/>
  <c r="N20" i="12"/>
  <c r="M20" i="12"/>
  <c r="L20" i="12"/>
  <c r="K20" i="12"/>
  <c r="N19" i="12"/>
  <c r="M19" i="12"/>
  <c r="L19" i="12"/>
  <c r="K19" i="12"/>
  <c r="N18" i="12"/>
  <c r="M18" i="12"/>
  <c r="L18" i="12"/>
  <c r="K18" i="12"/>
  <c r="N17" i="12"/>
  <c r="M17" i="12"/>
  <c r="L17" i="12"/>
  <c r="K17" i="12"/>
  <c r="N16" i="12"/>
  <c r="M16" i="12"/>
  <c r="L16" i="12"/>
  <c r="K16" i="12"/>
  <c r="N15" i="12"/>
  <c r="M15" i="12"/>
  <c r="L15" i="12"/>
  <c r="K15" i="12"/>
  <c r="N14" i="12"/>
  <c r="M14" i="12"/>
  <c r="L14" i="12"/>
  <c r="K14" i="12"/>
  <c r="N13" i="12"/>
  <c r="M13" i="12"/>
  <c r="L13" i="12"/>
  <c r="K13" i="12"/>
  <c r="N12" i="12"/>
  <c r="M12" i="12"/>
  <c r="L12" i="12"/>
  <c r="K12" i="12"/>
  <c r="N11" i="12"/>
  <c r="M11" i="12"/>
  <c r="L11" i="12"/>
  <c r="K11" i="12"/>
  <c r="N10" i="12"/>
  <c r="M10" i="12"/>
  <c r="L10" i="12"/>
  <c r="K10" i="12"/>
  <c r="N9" i="12"/>
  <c r="M9" i="12"/>
  <c r="L9" i="12"/>
  <c r="K9" i="12"/>
  <c r="N8" i="12"/>
  <c r="M8" i="12"/>
  <c r="L8" i="12"/>
  <c r="K8" i="12"/>
  <c r="N7" i="12"/>
  <c r="M7" i="12"/>
  <c r="L7" i="12"/>
  <c r="K7" i="12"/>
  <c r="N6" i="12"/>
  <c r="M6" i="12"/>
  <c r="L6" i="12"/>
  <c r="K6" i="12"/>
  <c r="N5" i="12"/>
  <c r="M5" i="12"/>
  <c r="L5" i="12"/>
  <c r="K5" i="12"/>
  <c r="N4" i="12"/>
  <c r="M4" i="12"/>
  <c r="L4" i="12"/>
  <c r="K4" i="12"/>
  <c r="N3" i="12"/>
  <c r="M3" i="12"/>
  <c r="L3" i="12"/>
  <c r="K3" i="12"/>
  <c r="N2" i="12"/>
  <c r="M2" i="12"/>
  <c r="L2" i="12"/>
  <c r="K2" i="12"/>
  <c r="B5" i="10"/>
  <c r="B4" i="10"/>
  <c r="B3" i="10"/>
  <c r="B2" i="10"/>
  <c r="R5" i="7"/>
  <c r="S5" i="7"/>
  <c r="T5" i="7"/>
  <c r="U5" i="7"/>
  <c r="V5" i="7"/>
  <c r="W5" i="7"/>
  <c r="X5" i="7"/>
  <c r="Y5" i="7"/>
  <c r="Z5" i="7"/>
  <c r="AA5" i="7"/>
  <c r="AB5" i="7"/>
  <c r="AC5" i="7"/>
  <c r="R6" i="7"/>
  <c r="S6" i="7"/>
  <c r="T6" i="7"/>
  <c r="U6" i="7"/>
  <c r="V6" i="7"/>
  <c r="AD6" i="7" s="1"/>
  <c r="W6" i="7"/>
  <c r="X6" i="7"/>
  <c r="Y6" i="7"/>
  <c r="Z6" i="7"/>
  <c r="AA6" i="7"/>
  <c r="AB6" i="7"/>
  <c r="AC6" i="7"/>
  <c r="R7" i="7"/>
  <c r="S7" i="7"/>
  <c r="T7" i="7"/>
  <c r="U7" i="7"/>
  <c r="V7" i="7"/>
  <c r="W7" i="7"/>
  <c r="X7" i="7"/>
  <c r="Y7" i="7"/>
  <c r="Z7" i="7"/>
  <c r="AA7" i="7"/>
  <c r="AB7" i="7"/>
  <c r="AC7" i="7"/>
  <c r="R8" i="7"/>
  <c r="S8" i="7"/>
  <c r="T8" i="7"/>
  <c r="U8" i="7"/>
  <c r="AD8" i="7" s="1"/>
  <c r="V8" i="7"/>
  <c r="W8" i="7"/>
  <c r="X8" i="7"/>
  <c r="Y8" i="7"/>
  <c r="Z8" i="7"/>
  <c r="AA8" i="7"/>
  <c r="AB8" i="7"/>
  <c r="AC8" i="7"/>
  <c r="R9" i="7"/>
  <c r="S9" i="7"/>
  <c r="T9" i="7"/>
  <c r="U9" i="7"/>
  <c r="AD9" i="7" s="1"/>
  <c r="V9" i="7"/>
  <c r="W9" i="7"/>
  <c r="X9" i="7"/>
  <c r="Y9" i="7"/>
  <c r="Z9" i="7"/>
  <c r="AA9" i="7"/>
  <c r="AB9" i="7"/>
  <c r="AC9" i="7"/>
  <c r="R10" i="7"/>
  <c r="S10" i="7"/>
  <c r="T10" i="7"/>
  <c r="U10" i="7"/>
  <c r="V10" i="7"/>
  <c r="W10" i="7"/>
  <c r="X10" i="7"/>
  <c r="Y10" i="7"/>
  <c r="Z10" i="7"/>
  <c r="AA10" i="7"/>
  <c r="AB10" i="7"/>
  <c r="AC10" i="7"/>
  <c r="R11" i="7"/>
  <c r="S11" i="7"/>
  <c r="T11" i="7"/>
  <c r="U11" i="7"/>
  <c r="V11" i="7"/>
  <c r="W11" i="7"/>
  <c r="X11" i="7"/>
  <c r="Y11" i="7"/>
  <c r="Z11" i="7"/>
  <c r="AA11" i="7"/>
  <c r="AB11" i="7"/>
  <c r="AC11" i="7"/>
  <c r="R12" i="7"/>
  <c r="S12" i="7"/>
  <c r="T12" i="7"/>
  <c r="U12" i="7"/>
  <c r="AD12" i="7" s="1"/>
  <c r="V12" i="7"/>
  <c r="W12" i="7"/>
  <c r="X12" i="7"/>
  <c r="Y12" i="7"/>
  <c r="Z12" i="7"/>
  <c r="AA12" i="7"/>
  <c r="AB12" i="7"/>
  <c r="AC12" i="7"/>
  <c r="R13" i="7"/>
  <c r="S13" i="7"/>
  <c r="T13" i="7"/>
  <c r="U13" i="7"/>
  <c r="AD13" i="7" s="1"/>
  <c r="V13" i="7"/>
  <c r="W13" i="7"/>
  <c r="X13" i="7"/>
  <c r="Y13" i="7"/>
  <c r="Z13" i="7"/>
  <c r="AA13" i="7"/>
  <c r="AB13" i="7"/>
  <c r="AC13" i="7"/>
  <c r="R14" i="7"/>
  <c r="S14" i="7"/>
  <c r="T14" i="7"/>
  <c r="U14" i="7"/>
  <c r="V14" i="7"/>
  <c r="AD14" i="7" s="1"/>
  <c r="W14" i="7"/>
  <c r="X14" i="7"/>
  <c r="Y14" i="7"/>
  <c r="Z14" i="7"/>
  <c r="AA14" i="7"/>
  <c r="AB14" i="7"/>
  <c r="AC14" i="7"/>
  <c r="R15" i="7"/>
  <c r="S15" i="7"/>
  <c r="T15" i="7"/>
  <c r="U15" i="7"/>
  <c r="V15" i="7"/>
  <c r="W15" i="7"/>
  <c r="X15" i="7"/>
  <c r="Y15" i="7"/>
  <c r="Z15" i="7"/>
  <c r="AA15" i="7"/>
  <c r="AB15" i="7"/>
  <c r="AC15" i="7"/>
  <c r="R16" i="7"/>
  <c r="S16" i="7"/>
  <c r="T16" i="7"/>
  <c r="U16" i="7"/>
  <c r="V16" i="7"/>
  <c r="W16" i="7"/>
  <c r="X16" i="7"/>
  <c r="Y16" i="7"/>
  <c r="Z16" i="7"/>
  <c r="AA16" i="7"/>
  <c r="AB16" i="7"/>
  <c r="AC16" i="7"/>
  <c r="R17" i="7"/>
  <c r="S17" i="7"/>
  <c r="T17" i="7"/>
  <c r="U17" i="7"/>
  <c r="V17" i="7"/>
  <c r="W17" i="7"/>
  <c r="X17" i="7"/>
  <c r="Y17" i="7"/>
  <c r="Z17" i="7"/>
  <c r="AA17" i="7"/>
  <c r="AB17" i="7"/>
  <c r="AC17" i="7"/>
  <c r="R18" i="7"/>
  <c r="S18" i="7"/>
  <c r="T18" i="7"/>
  <c r="U18" i="7"/>
  <c r="AD18" i="7" s="1"/>
  <c r="V18" i="7"/>
  <c r="W18" i="7"/>
  <c r="X18" i="7"/>
  <c r="Y18" i="7"/>
  <c r="Z18" i="7"/>
  <c r="AA18" i="7"/>
  <c r="AB18" i="7"/>
  <c r="AC18" i="7"/>
  <c r="R19" i="7"/>
  <c r="S19" i="7"/>
  <c r="T19" i="7"/>
  <c r="U19" i="7"/>
  <c r="AD19" i="7" s="1"/>
  <c r="V19" i="7"/>
  <c r="W19" i="7"/>
  <c r="X19" i="7"/>
  <c r="Y19" i="7"/>
  <c r="Z19" i="7"/>
  <c r="AA19" i="7"/>
  <c r="AB19" i="7"/>
  <c r="AC19" i="7"/>
  <c r="R20" i="7"/>
  <c r="S20" i="7"/>
  <c r="T20" i="7"/>
  <c r="U20" i="7"/>
  <c r="AD20" i="7" s="1"/>
  <c r="V20" i="7"/>
  <c r="W20" i="7"/>
  <c r="X20" i="7"/>
  <c r="Y20" i="7"/>
  <c r="Z20" i="7"/>
  <c r="AA20" i="7"/>
  <c r="AB20" i="7"/>
  <c r="AC20" i="7"/>
  <c r="R21" i="7"/>
  <c r="S21" i="7"/>
  <c r="T21" i="7"/>
  <c r="U21" i="7"/>
  <c r="AD21" i="7" s="1"/>
  <c r="V21" i="7"/>
  <c r="W21" i="7"/>
  <c r="X21" i="7"/>
  <c r="Y21" i="7"/>
  <c r="Z21" i="7"/>
  <c r="AA21" i="7"/>
  <c r="AB21" i="7"/>
  <c r="AC21" i="7"/>
  <c r="R22" i="7"/>
  <c r="S22" i="7"/>
  <c r="T22" i="7"/>
  <c r="U22" i="7"/>
  <c r="V22" i="7"/>
  <c r="W22" i="7"/>
  <c r="X22" i="7"/>
  <c r="Y22" i="7"/>
  <c r="Z22" i="7"/>
  <c r="AA22" i="7"/>
  <c r="AB22" i="7"/>
  <c r="AC22" i="7"/>
  <c r="R23" i="7"/>
  <c r="S23" i="7"/>
  <c r="T23" i="7"/>
  <c r="U23" i="7"/>
  <c r="V23" i="7"/>
  <c r="W23" i="7"/>
  <c r="X23" i="7"/>
  <c r="Y23" i="7"/>
  <c r="Z23" i="7"/>
  <c r="AA23" i="7"/>
  <c r="AB23" i="7"/>
  <c r="AC23" i="7"/>
  <c r="R24" i="7"/>
  <c r="S24" i="7"/>
  <c r="T24" i="7"/>
  <c r="U24" i="7"/>
  <c r="V24" i="7"/>
  <c r="AD24" i="7" s="1"/>
  <c r="W24" i="7"/>
  <c r="X24" i="7"/>
  <c r="Y24" i="7"/>
  <c r="Z24" i="7"/>
  <c r="AA24" i="7"/>
  <c r="AB24" i="7"/>
  <c r="AC24" i="7"/>
  <c r="R25" i="7"/>
  <c r="S25" i="7"/>
  <c r="T25" i="7"/>
  <c r="U25" i="7"/>
  <c r="V25" i="7"/>
  <c r="W25" i="7"/>
  <c r="X25" i="7"/>
  <c r="Y25" i="7"/>
  <c r="Z25" i="7"/>
  <c r="AA25" i="7"/>
  <c r="AB25" i="7"/>
  <c r="AC25" i="7"/>
  <c r="R26" i="7"/>
  <c r="S26" i="7"/>
  <c r="T26" i="7"/>
  <c r="U26" i="7"/>
  <c r="AD26" i="7" s="1"/>
  <c r="V26" i="7"/>
  <c r="W26" i="7"/>
  <c r="X26" i="7"/>
  <c r="Y26" i="7"/>
  <c r="Z26" i="7"/>
  <c r="AA26" i="7"/>
  <c r="AB26" i="7"/>
  <c r="AC26" i="7"/>
  <c r="R27" i="7"/>
  <c r="S27" i="7"/>
  <c r="T27" i="7"/>
  <c r="U27" i="7"/>
  <c r="AD27" i="7" s="1"/>
  <c r="V27" i="7"/>
  <c r="W27" i="7"/>
  <c r="X27" i="7"/>
  <c r="Y27" i="7"/>
  <c r="Z27" i="7"/>
  <c r="AA27" i="7"/>
  <c r="AB27" i="7"/>
  <c r="AC27" i="7"/>
  <c r="R28" i="7"/>
  <c r="S28" i="7"/>
  <c r="T28" i="7"/>
  <c r="U28" i="7"/>
  <c r="V28" i="7"/>
  <c r="W28" i="7"/>
  <c r="X28" i="7"/>
  <c r="Y28" i="7"/>
  <c r="Z28" i="7"/>
  <c r="AA28" i="7"/>
  <c r="AB28" i="7"/>
  <c r="AC28" i="7"/>
  <c r="R29" i="7"/>
  <c r="S29" i="7"/>
  <c r="T29" i="7"/>
  <c r="U29" i="7"/>
  <c r="V29" i="7"/>
  <c r="W29" i="7"/>
  <c r="X29" i="7"/>
  <c r="Y29" i="7"/>
  <c r="Z29" i="7"/>
  <c r="AA29" i="7"/>
  <c r="AB29" i="7"/>
  <c r="AC29" i="7"/>
  <c r="R30" i="7"/>
  <c r="S30" i="7"/>
  <c r="T30" i="7"/>
  <c r="U30" i="7"/>
  <c r="AD30" i="7" s="1"/>
  <c r="V30" i="7"/>
  <c r="W30" i="7"/>
  <c r="X30" i="7"/>
  <c r="Y30" i="7"/>
  <c r="Z30" i="7"/>
  <c r="AA30" i="7"/>
  <c r="AB30" i="7"/>
  <c r="AC30" i="7"/>
  <c r="R31" i="7"/>
  <c r="S31" i="7"/>
  <c r="T31" i="7"/>
  <c r="U31" i="7"/>
  <c r="AD31" i="7" s="1"/>
  <c r="V31" i="7"/>
  <c r="W31" i="7"/>
  <c r="X31" i="7"/>
  <c r="Y31" i="7"/>
  <c r="Z31" i="7"/>
  <c r="AA31" i="7"/>
  <c r="AB31" i="7"/>
  <c r="AC31" i="7"/>
  <c r="R32" i="7"/>
  <c r="S32" i="7"/>
  <c r="T32" i="7"/>
  <c r="U32" i="7"/>
  <c r="V32" i="7"/>
  <c r="AD32" i="7" s="1"/>
  <c r="W32" i="7"/>
  <c r="X32" i="7"/>
  <c r="Y32" i="7"/>
  <c r="Z32" i="7"/>
  <c r="AA32" i="7"/>
  <c r="AB32" i="7"/>
  <c r="AC32" i="7"/>
  <c r="R33" i="7"/>
  <c r="S33" i="7"/>
  <c r="T33" i="7"/>
  <c r="U33" i="7"/>
  <c r="V33" i="7"/>
  <c r="W33" i="7"/>
  <c r="X33" i="7"/>
  <c r="Y33" i="7"/>
  <c r="Z33" i="7"/>
  <c r="AA33" i="7"/>
  <c r="AB33" i="7"/>
  <c r="AC33" i="7"/>
  <c r="R34" i="7"/>
  <c r="S34" i="7"/>
  <c r="T34" i="7"/>
  <c r="U34" i="7"/>
  <c r="V34" i="7"/>
  <c r="W34" i="7"/>
  <c r="X34" i="7"/>
  <c r="Y34" i="7"/>
  <c r="Z34" i="7"/>
  <c r="AA34" i="7"/>
  <c r="AB34" i="7"/>
  <c r="AC34" i="7"/>
  <c r="R35" i="7"/>
  <c r="S35" i="7"/>
  <c r="T35" i="7"/>
  <c r="U35" i="7"/>
  <c r="V35" i="7"/>
  <c r="W35" i="7"/>
  <c r="X35" i="7"/>
  <c r="Y35" i="7"/>
  <c r="Z35" i="7"/>
  <c r="AA35" i="7"/>
  <c r="AB35" i="7"/>
  <c r="AC35" i="7"/>
  <c r="R36" i="7"/>
  <c r="S36" i="7"/>
  <c r="T36" i="7"/>
  <c r="U36" i="7"/>
  <c r="AD36" i="7" s="1"/>
  <c r="V36" i="7"/>
  <c r="W36" i="7"/>
  <c r="X36" i="7"/>
  <c r="Y36" i="7"/>
  <c r="Z36" i="7"/>
  <c r="AA36" i="7"/>
  <c r="AB36" i="7"/>
  <c r="AC36" i="7"/>
  <c r="R37" i="7"/>
  <c r="S37" i="7"/>
  <c r="T37" i="7"/>
  <c r="U37" i="7"/>
  <c r="V37" i="7"/>
  <c r="W37" i="7"/>
  <c r="X37" i="7"/>
  <c r="Y37" i="7"/>
  <c r="Z37" i="7"/>
  <c r="AA37" i="7"/>
  <c r="AB37" i="7"/>
  <c r="AC37" i="7"/>
  <c r="R38" i="7"/>
  <c r="S38" i="7"/>
  <c r="T38" i="7"/>
  <c r="U38" i="7"/>
  <c r="V38" i="7"/>
  <c r="W38" i="7"/>
  <c r="X38" i="7"/>
  <c r="Y38" i="7"/>
  <c r="Z38" i="7"/>
  <c r="AA38" i="7"/>
  <c r="AB38" i="7"/>
  <c r="AC38" i="7"/>
  <c r="R39" i="7"/>
  <c r="S39" i="7"/>
  <c r="T39" i="7"/>
  <c r="U39" i="7"/>
  <c r="AD39" i="7" s="1"/>
  <c r="V39" i="7"/>
  <c r="W39" i="7"/>
  <c r="X39" i="7"/>
  <c r="Y39" i="7"/>
  <c r="Z39" i="7"/>
  <c r="AA39" i="7"/>
  <c r="AB39" i="7"/>
  <c r="AC39" i="7"/>
  <c r="R40" i="7"/>
  <c r="S40" i="7"/>
  <c r="T40" i="7"/>
  <c r="U40" i="7"/>
  <c r="V40" i="7"/>
  <c r="W40" i="7"/>
  <c r="X40" i="7"/>
  <c r="Y40" i="7"/>
  <c r="Z40" i="7"/>
  <c r="AA40" i="7"/>
  <c r="AB40" i="7"/>
  <c r="AC40" i="7"/>
  <c r="R41" i="7"/>
  <c r="S41" i="7"/>
  <c r="T41" i="7"/>
  <c r="U41" i="7"/>
  <c r="V41" i="7"/>
  <c r="W41" i="7"/>
  <c r="X41" i="7"/>
  <c r="Y41" i="7"/>
  <c r="Z41" i="7"/>
  <c r="AA41" i="7"/>
  <c r="AB41" i="7"/>
  <c r="AC41" i="7"/>
  <c r="R42" i="7"/>
  <c r="S42" i="7"/>
  <c r="T42" i="7"/>
  <c r="U42" i="7"/>
  <c r="AD42" i="7" s="1"/>
  <c r="V42" i="7"/>
  <c r="W42" i="7"/>
  <c r="X42" i="7"/>
  <c r="Y42" i="7"/>
  <c r="Z42" i="7"/>
  <c r="AA42" i="7"/>
  <c r="AB42" i="7"/>
  <c r="AC42" i="7"/>
  <c r="R43" i="7"/>
  <c r="S43" i="7"/>
  <c r="T43" i="7"/>
  <c r="U43" i="7"/>
  <c r="V43" i="7"/>
  <c r="W43" i="7"/>
  <c r="X43" i="7"/>
  <c r="Y43" i="7"/>
  <c r="Z43" i="7"/>
  <c r="AA43" i="7"/>
  <c r="AB43" i="7"/>
  <c r="AC43" i="7"/>
  <c r="R44" i="7"/>
  <c r="S44" i="7"/>
  <c r="T44" i="7"/>
  <c r="U44" i="7"/>
  <c r="V44" i="7"/>
  <c r="W44" i="7"/>
  <c r="X44" i="7"/>
  <c r="Y44" i="7"/>
  <c r="Z44" i="7"/>
  <c r="AA44" i="7"/>
  <c r="AB44" i="7"/>
  <c r="AC44" i="7"/>
  <c r="R45" i="7"/>
  <c r="S45" i="7"/>
  <c r="T45" i="7"/>
  <c r="U45" i="7"/>
  <c r="AD45" i="7" s="1"/>
  <c r="V45" i="7"/>
  <c r="W45" i="7"/>
  <c r="X45" i="7"/>
  <c r="Y45" i="7"/>
  <c r="Z45" i="7"/>
  <c r="AA45" i="7"/>
  <c r="AB45" i="7"/>
  <c r="AC45" i="7"/>
  <c r="R46" i="7"/>
  <c r="S46" i="7"/>
  <c r="T46" i="7"/>
  <c r="U46" i="7"/>
  <c r="V46" i="7"/>
  <c r="W46" i="7"/>
  <c r="X46" i="7"/>
  <c r="Y46" i="7"/>
  <c r="Z46" i="7"/>
  <c r="AA46" i="7"/>
  <c r="AB46" i="7"/>
  <c r="AC46" i="7"/>
  <c r="R47" i="7"/>
  <c r="S47" i="7"/>
  <c r="T47" i="7"/>
  <c r="U47" i="7"/>
  <c r="V47" i="7"/>
  <c r="W47" i="7"/>
  <c r="X47" i="7"/>
  <c r="Y47" i="7"/>
  <c r="Z47" i="7"/>
  <c r="AA47" i="7"/>
  <c r="AB47" i="7"/>
  <c r="AC47" i="7"/>
  <c r="R48" i="7"/>
  <c r="S48" i="7"/>
  <c r="T48" i="7"/>
  <c r="U48" i="7"/>
  <c r="V48" i="7"/>
  <c r="AD48" i="7" s="1"/>
  <c r="W48" i="7"/>
  <c r="X48" i="7"/>
  <c r="Y48" i="7"/>
  <c r="Z48" i="7"/>
  <c r="AA48" i="7"/>
  <c r="AB48" i="7"/>
  <c r="AC48" i="7"/>
  <c r="R49" i="7"/>
  <c r="S49" i="7"/>
  <c r="T49" i="7"/>
  <c r="U49" i="7"/>
  <c r="V49" i="7"/>
  <c r="W49" i="7"/>
  <c r="X49" i="7"/>
  <c r="Y49" i="7"/>
  <c r="Z49" i="7"/>
  <c r="AA49" i="7"/>
  <c r="AB49" i="7"/>
  <c r="AC49" i="7"/>
  <c r="Q34" i="7"/>
  <c r="Q35" i="7"/>
  <c r="Q36" i="7"/>
  <c r="Q37" i="7"/>
  <c r="Q38" i="7"/>
  <c r="AD38" i="7" s="1"/>
  <c r="Q39" i="7"/>
  <c r="Q40" i="7"/>
  <c r="Q41" i="7"/>
  <c r="Q42" i="7"/>
  <c r="Q43" i="7"/>
  <c r="Q44" i="7"/>
  <c r="AD44" i="7" s="1"/>
  <c r="Q45" i="7"/>
  <c r="Q46" i="7"/>
  <c r="Q47" i="7"/>
  <c r="Q48" i="7"/>
  <c r="Q49"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5" i="7"/>
  <c r="AD7" i="7"/>
  <c r="AD15" i="7"/>
  <c r="AD25" i="7"/>
  <c r="AD33" i="7"/>
  <c r="AD50" i="7"/>
  <c r="AD51" i="7"/>
  <c r="AD52" i="7"/>
  <c r="R50" i="7"/>
  <c r="S50" i="7"/>
  <c r="T50" i="7"/>
  <c r="U50" i="7"/>
  <c r="V50" i="7"/>
  <c r="W50" i="7"/>
  <c r="X50" i="7"/>
  <c r="Y50" i="7"/>
  <c r="Z50" i="7"/>
  <c r="AA50" i="7"/>
  <c r="AB50" i="7"/>
  <c r="AC50" i="7"/>
  <c r="I6" i="5"/>
  <c r="Q4" i="6"/>
  <c r="S12" i="6"/>
  <c r="S18" i="6"/>
  <c r="S24" i="6"/>
  <c r="S30" i="6"/>
  <c r="S14" i="6"/>
  <c r="S32" i="6"/>
  <c r="S15" i="6"/>
  <c r="S27" i="6"/>
  <c r="S22" i="6"/>
  <c r="S34" i="6"/>
  <c r="S29" i="6"/>
  <c r="S13" i="6"/>
  <c r="S19" i="6"/>
  <c r="S25" i="6"/>
  <c r="S31" i="6"/>
  <c r="S20" i="6"/>
  <c r="S26" i="6"/>
  <c r="S21" i="6"/>
  <c r="S33" i="6"/>
  <c r="S16" i="6"/>
  <c r="S28" i="6"/>
  <c r="S35" i="6"/>
  <c r="S11" i="6"/>
  <c r="S17" i="6"/>
  <c r="S23" i="6"/>
  <c r="AD11" i="7" l="1"/>
  <c r="AD17" i="7"/>
  <c r="AD37" i="7"/>
  <c r="AD28" i="7"/>
  <c r="AD22" i="7"/>
  <c r="AD16" i="7"/>
  <c r="AD10" i="7"/>
  <c r="AD29" i="7"/>
  <c r="AD43" i="7"/>
  <c r="AD47" i="7"/>
  <c r="AD41" i="7"/>
  <c r="AD35" i="7"/>
  <c r="AD23" i="7"/>
  <c r="AD49" i="7"/>
  <c r="AD46" i="7"/>
  <c r="AD40" i="7"/>
  <c r="AD34" i="7"/>
  <c r="AD5" i="7"/>
</calcChain>
</file>

<file path=xl/sharedStrings.xml><?xml version="1.0" encoding="utf-8"?>
<sst xmlns="http://schemas.openxmlformats.org/spreadsheetml/2006/main" count="1983" uniqueCount="372">
  <si>
    <t>Part</t>
  </si>
  <si>
    <t>Aspect of soil degradation</t>
  </si>
  <si>
    <t>Optional</t>
  </si>
  <si>
    <t>Soil descriptor</t>
  </si>
  <si>
    <t>UoM</t>
  </si>
  <si>
    <t>Criteria for healthy soil condition – non-binding sustainable target values</t>
  </si>
  <si>
    <t>Land areas exempted from meeting the related criterion</t>
  </si>
  <si>
    <t>Comment</t>
  </si>
  <si>
    <t>Note #</t>
  </si>
  <si>
    <t>Notes</t>
  </si>
  <si>
    <t>Part A: soil descriptors with criteria for healthy soil condition established at Union level</t>
  </si>
  <si>
    <t>Salinisation</t>
  </si>
  <si>
    <t>Electrical conductivity (deci-Siemens per meter)</t>
  </si>
  <si>
    <t>DeciS-PER-M</t>
  </si>
  <si>
    <t>&lt; 4 dS m–1 when using saturated soil paste extract (eEC) measurement method, or equivalent criterion if using another measurement method</t>
  </si>
  <si>
    <t>Naturally saline land areas, areas with regular flooding from marine submersion and areas subject to sea spray</t>
  </si>
  <si>
    <t>Loss of Soil Organic Carbon (SOC)</t>
  </si>
  <si>
    <t>SOC concentration (g per kg)</t>
  </si>
  <si>
    <t>GM-PER-KiloGM</t>
  </si>
  <si>
    <t>For organic soils: respect targets set for such soils at national level in accordance with Article 4(2) and (4), and Article 11(4) of Regulation (EU) 2024/1991</t>
  </si>
  <si>
    <t>No exemption</t>
  </si>
  <si>
    <t>For mineral soils: SOC/Clay ratio &gt; 1/13 (that is the ratio of SOC content to the content of the clay fraction (fraction with a diameter of less than 0,002 mm))
 Member States are expected to apply corrective factors to the ratio where specific soil types or climatic</t>
  </si>
  <si>
    <t>Non-managed soils in natural land areas</t>
  </si>
  <si>
    <t>Subsoil compaction</t>
  </si>
  <si>
    <t>Bulk density in subsoil (g per cm3)</t>
  </si>
  <si>
    <t>GM-PER-CentiM3</t>
  </si>
  <si>
    <t>Sand, loamy sand, sandy loam, loam &lt; 1,80</t>
  </si>
  <si>
    <t>Non-managed soils in natural land areas and areas with naturally compacted soils</t>
  </si>
  <si>
    <t>Member States may apply different texture classes or values corresponding to the levels considered problematic for plant rooting system development</t>
  </si>
  <si>
    <t>1, 2, 3, 4</t>
  </si>
  <si>
    <t>* The minimum criteria for the methodology for in situ sampling of soil descriptors are provided for in Annex II, Part A, and further details are to be provided pursuant to Article 24.
 * Further details on the methodology on setting non-binding sustainable target values and operational trigger values for soil descriptors listed in Annex I, Parts A and B and, when possible, Part C, are to be provided pursuant to Article 24.
 * The measurement of electrical conductivity can be excluded in areas not at risk of salinisation. Further details on the methodology for assessing areas not at risk of salinisation are to be provided pursuant to Article 24.
 * As defined in IUSS Working Group WRB. 2022. World Reference Base for Soil Resources. International soil classification system for naming soils and creating legends for soil maps. 4th edition. International Union of Soil Sciences (IUSS), Vienna, Austria.</t>
  </si>
  <si>
    <t>Sandy clay loam, loam, clay loam, silt, silt loam &lt; 1,75</t>
  </si>
  <si>
    <t>As defined in IUSS Working Group WRB. 2022. World Reference Base for Soil Resources. International soil classification system for naming soils and creating legends for soil maps. 4th edition. International Union of Soil Sciences (IUSS), Vienna, Austria.</t>
  </si>
  <si>
    <t>Silt loam, silty clay loam &lt; 1,65</t>
  </si>
  <si>
    <t>Sandy clay, silty clay, clay loam with 35-45 % clay &lt; 1,58</t>
  </si>
  <si>
    <t>Clay &lt; 1,47</t>
  </si>
  <si>
    <t>*</t>
  </si>
  <si>
    <t>saturated hydraulic conductivity – Ksat (cm per day)</t>
  </si>
  <si>
    <t>M-PER-DAY</t>
  </si>
  <si>
    <t>≥ 10 cm/day</t>
  </si>
  <si>
    <t>Member States may adapt this value according to their local soil conditions</t>
  </si>
  <si>
    <t>Lebert, M., Böken, H., Glante, F. 2007. Soil compaction – indicators for the assessment of harmful changes to the soil in the context of the German Federal Soil Protection Act. Journal of Environmental Management 82(3): 388-397.</t>
  </si>
  <si>
    <t>air capacity (%)</t>
  </si>
  <si>
    <t>PERCENT</t>
  </si>
  <si>
    <t>≥ 5 %(</t>
  </si>
  <si>
    <t>Part B: soil descriptors with criteria for healthy soil condition established at Member State level</t>
  </si>
  <si>
    <t>Excess nutrient content in soil</t>
  </si>
  <si>
    <t>Extractable phosphorus (mg per kg)</t>
  </si>
  <si>
    <t>MilliGM-PER-KiloGM</t>
  </si>
  <si>
    <t>&lt; ‘maximum value’</t>
  </si>
  <si>
    <t>Member States shall lay down their own maximum value, at a level that would not entail damage to human health and the environment</t>
  </si>
  <si>
    <t>Soil erosion</t>
  </si>
  <si>
    <t>Soil erosion rate (tonnes per hectare per year)</t>
  </si>
  <si>
    <t>TONNE-PER-HA-YR</t>
  </si>
  <si>
    <t>Badlands and natural land areas, except if they represent a significant disaster risk</t>
  </si>
  <si>
    <t>Soil contamination</t>
  </si>
  <si>
    <t>concentration of heavy metals in soil: As, Sb, Cd, Co, Cr (total), Cu, Hg, Pb, Ni, Tl, V, Zn (mg per kg)</t>
  </si>
  <si>
    <t>Reasonable assurance, obtained from soil point sampling, identification and investigation of potentially contaminated sites and any other relevant information, that an unacceptable risk to human health and the environment from soil contamination does not exist</t>
  </si>
  <si>
    <t>Natural and anthropogenic background levels shall be taken into account in the risk assessment
 If natural background is the only reason leading to unacceptable risks, then the relevant soil shall be deemed to meet the healthy soil criteria provided that it is managed in such a way that an unacceptable risk to human health does not exist
 Habitats with a naturally high concentration of heavy metals that are included in Annex I to Directive 92/43/EEC shall remain protected</t>
  </si>
  <si>
    <t>concentration of a selection of organic contaminants established by Member States and taking into account existing concentration limits in Union law, e.g. for water quality and air emissions</t>
  </si>
  <si>
    <t>Reduction of soil water retention and infiltration</t>
  </si>
  <si>
    <t>Water retention: soil water holding capacity of the soil sample (% of water per total soil (volume or mass))</t>
  </si>
  <si>
    <t>percent by volume or mass</t>
  </si>
  <si>
    <t>The estimated value for the total water holding capacity, the saturated hydraulic conductivity and the air capacity of a soil unit is above the minimal threshold and may also be assessed by river basin or sub-basin, taking into account water processes occurring at that scale</t>
  </si>
  <si>
    <t>The minimal threshold shall be set (in tonnes) by the Member State at the relevant scale, at such a value that the impacts of flooding following intense rain events or of periods of low soil moisture due to drought events are mitigated</t>
  </si>
  <si>
    <t>Water infiltration: saturated hydraulic conductivity – Ksat (cm per day)</t>
  </si>
  <si>
    <t>Water infiltration: air capacity (%)</t>
  </si>
  <si>
    <t>Loss of SOC</t>
  </si>
  <si>
    <t>SOC stocks (tC ha-1)</t>
  </si>
  <si>
    <t>TONNE-PER-HA</t>
  </si>
  <si>
    <t>Contribute to national targets for net greenhouse gas removals in the LULUCF sector as referred to in Article 4(3) of Regulation (EU) 2018/841
 &gt; ‘minimum value’</t>
  </si>
  <si>
    <t>Member States shall lay down the minimum value by soil texture</t>
  </si>
  <si>
    <t>SOC content (g per kg)</t>
  </si>
  <si>
    <t>Part C: soil descriptors without criteria</t>
  </si>
  <si>
    <t>Total nitrogen content in soil (mg g-1)</t>
  </si>
  <si>
    <t>MilliGM-PER-GM</t>
  </si>
  <si>
    <t>SOC to nitrogen ratio</t>
  </si>
  <si>
    <t>Acidification</t>
  </si>
  <si>
    <t>Soil acidity (pH)</t>
  </si>
  <si>
    <t>PH</t>
  </si>
  <si>
    <t>base saturation (i.e. (Ca + Mg + K)/effective cation exchange capacity (CEC))</t>
  </si>
  <si>
    <t>Topsoil compaction</t>
  </si>
  <si>
    <t>Bulk density in topsoil (A-horizon) (g cm-3)</t>
  </si>
  <si>
    <t>As defined in the FAO Guidelines for Soil Description, Chapter 5 (https://www.fao.org/3/a0541e/a0541e.pdf)</t>
  </si>
  <si>
    <t>saturated hydraulic conductivity (cm per day)</t>
  </si>
  <si>
    <t>Loss of soil biodiversity</t>
  </si>
  <si>
    <t>DNA metabarcoding for fungi and bacteria</t>
  </si>
  <si>
    <t>metabarcoding of archaea, protists and animals</t>
  </si>
  <si>
    <t>phospholipid fatty acid analysis (PLFA)</t>
  </si>
  <si>
    <t>abundance and diversity of nematodes</t>
  </si>
  <si>
    <t>abundance and diversity of earthworms</t>
  </si>
  <si>
    <t>abundance and diversity of springtails</t>
  </si>
  <si>
    <t>abundance and diversity of native ants</t>
  </si>
  <si>
    <t>soil biological quality based on arthropods (QBS-ar)</t>
  </si>
  <si>
    <t>presence of invasive alien species and plant pests</t>
  </si>
  <si>
    <t>soil basal respiration</t>
  </si>
  <si>
    <t>Concentrations of PFAS-21(9) (9) (9) or concentrations of PFAS-43(10) (10) (10) or selected PFAS set by Member States in accordance with Article 7(4)</t>
  </si>
  <si>
    <t>* May be measured on a limited number of sampling points.
 * 6:2 FTS, PFBA, PFBS, PFDA, PFDoDA, PFDoDS, PFDS, PFHpA, PFHpS, PFHxA, PFHxS, PFNA, PFNS, PFOA, PFOS, PFPeA, PFPeS, PFTrDA, PFTrDS, PFUnDA, PFUnDS or other 21 PFAS, as available in the laboratories.
 * PFOS, PFOA, PFHxS, PFNA, PFBS, PFPeS, PFHpS, PFNS, PFDS, PFUnDS, PFDoDS, PFTrDS, PFBA, PFPeA, PFHxA, PFHpA, PFDA, PFUnDA, PFDoDA, PFTrDA, PFTeDA, PFOSA, N-EtFOSA, N-MeFOSA, FOSAA, N-EtFOSAA, N-MeFOSAA, FHxSA, N-EtFHxSA, N-MeFHxSA, FHxSAA, N-EtFHxSAA, N-MeFHxSAA, FBSA, N-EtFBSA, N-MeFBSA, FBSAA, N-EtFBSAA, N-MeFBSAA, 6:2 FTS, 8:2 FTS, 5:3 FTCA, 7:3 FTCA or other 43 PFAS, as available in the laboratories.</t>
  </si>
  <si>
    <t>Concentrations of selected active substances in pesticides and their metabolites set by Member States in accordance with Article 7(4)</t>
  </si>
  <si>
    <t>May be measured on a limited number of sampling points.</t>
  </si>
  <si>
    <t>concentrations or presence of a selection of other emerging soil contaminants set by Member States in accordance with Article 7(4)</t>
  </si>
  <si>
    <t>Part D: soil sealing and soil removal indicators</t>
  </si>
  <si>
    <t>Soil sealing indicators</t>
  </si>
  <si>
    <t>Soil removal indicators</t>
  </si>
  <si>
    <t>Soil sealing and soil removal</t>
  </si>
  <si>
    <t>Total sealed soils and areas that underwent soil removal (km2 and % of Member State surface)</t>
  </si>
  <si>
    <t>KiloM2</t>
  </si>
  <si>
    <t>Soil sealing and soil removal, de-sealing and net-sealing (average per year – in km2 and % of Member State surface)</t>
  </si>
  <si>
    <t>Total settlement area (km2 and % of Member State surface)</t>
  </si>
  <si>
    <t>Land use change to and from settlement area (average per year – in km2 and % of Member State surface)</t>
  </si>
  <si>
    <t>soil artificialisation</t>
  </si>
  <si>
    <t>land fragmentation</t>
  </si>
  <si>
    <t>land recycling rate</t>
  </si>
  <si>
    <t>land taken for commercial activities, logistic hubs, renewable energies, surfaces such as airports, roads, mines</t>
  </si>
  <si>
    <t>consequences of soil sealing and soil removal, such as quantification of loss of ecosystem services, change in the intensity of floods</t>
  </si>
  <si>
    <t>Row Labels</t>
  </si>
  <si>
    <t>(blank)</t>
  </si>
  <si>
    <t>Grand Total</t>
  </si>
  <si>
    <t>Column Labels</t>
  </si>
  <si>
    <t>Count of Aspect of soil degradation</t>
  </si>
  <si>
    <t>IF(B5=1;B4;'')</t>
  </si>
  <si>
    <t>skos:prefLabel @en</t>
  </si>
  <si>
    <t>skos:broader</t>
  </si>
  <si>
    <t>A</t>
  </si>
  <si>
    <t>B</t>
  </si>
  <si>
    <t>C</t>
  </si>
  <si>
    <t>D</t>
  </si>
  <si>
    <t>skos:prefLabel</t>
  </si>
  <si>
    <t>skos:definition</t>
  </si>
  <si>
    <t>skos:inScheme</t>
  </si>
  <si>
    <t>skos:Concept</t>
  </si>
  <si>
    <t>LossSOC</t>
  </si>
  <si>
    <t>LossSoilBiodiversity</t>
  </si>
  <si>
    <t>SoilContamination</t>
  </si>
  <si>
    <t>SoilErosion</t>
  </si>
  <si>
    <t>SoilSealingRemoval</t>
  </si>
  <si>
    <t>SubsoilCompaction</t>
  </si>
  <si>
    <t>TopsoilCompaction</t>
  </si>
  <si>
    <t>SMLDescriptors</t>
  </si>
  <si>
    <t>skos:topConceptOf</t>
  </si>
  <si>
    <t>BaseSaturation</t>
  </si>
  <si>
    <t>SoilAcidity(pH)</t>
  </si>
  <si>
    <t>ExtractablePhosphorus</t>
  </si>
  <si>
    <t>SOCNitrogenRatio</t>
  </si>
  <si>
    <t>TotalNitrogen</t>
  </si>
  <si>
    <t>SOCContent</t>
  </si>
  <si>
    <t>SOCStocks</t>
  </si>
  <si>
    <t>DNAMetabarcodingFungiBacteria</t>
  </si>
  <si>
    <t>DNAMetabarcodingArchaeaProtistsAnimals</t>
  </si>
  <si>
    <t>PLFA</t>
  </si>
  <si>
    <t>PresenceInvasiveAlienSpeciesPlantPests</t>
  </si>
  <si>
    <t>SoilBasalRespiration</t>
  </si>
  <si>
    <t>QBS-ar</t>
  </si>
  <si>
    <t>SOCConcentration</t>
  </si>
  <si>
    <t>AirCapacity</t>
  </si>
  <si>
    <t>Ksat</t>
  </si>
  <si>
    <t>SoilWaterHoldingCapacityVolume</t>
  </si>
  <si>
    <t>SoilWaterHoldingCapacityMass</t>
  </si>
  <si>
    <t>soil water holding capacity of the soil sample (% of water per total soil (volume))</t>
  </si>
  <si>
    <t>soil water holding capacity of the soil sample (% of water per total soil (mass))</t>
  </si>
  <si>
    <t>ElectricalConductivity</t>
  </si>
  <si>
    <t>ConcentrationAs</t>
  </si>
  <si>
    <t>concentration of heavy metals in soil: As</t>
  </si>
  <si>
    <t>ConcentrationSb</t>
  </si>
  <si>
    <t>concentration of heavy metals in soil: Sb</t>
  </si>
  <si>
    <t>ConcentrationCd</t>
  </si>
  <si>
    <t>concentration of heavy metals in soil: Cd</t>
  </si>
  <si>
    <t>ConcentrationCo</t>
  </si>
  <si>
    <t>concentration of heavy metals in soil: Co</t>
  </si>
  <si>
    <t>ConcentrationCrTotal</t>
  </si>
  <si>
    <t>concentration of heavy metals in soil: Cr (total)</t>
  </si>
  <si>
    <t>ConcentrationCu</t>
  </si>
  <si>
    <t>concentration of heavy metals in soil: Cu</t>
  </si>
  <si>
    <t>ConcentrationHg</t>
  </si>
  <si>
    <t>concentration of heavy metals in soil: Hg</t>
  </si>
  <si>
    <t>ConcentrationPb</t>
  </si>
  <si>
    <t>concentration of heavy metals in soil: Pb</t>
  </si>
  <si>
    <t>ConcentrationNi</t>
  </si>
  <si>
    <t>concentration of heavy metals in soil: Ni</t>
  </si>
  <si>
    <t>ConcentrationTl</t>
  </si>
  <si>
    <t>concentration of heavy metals in soil: Tl</t>
  </si>
  <si>
    <t>ConcentrationV</t>
  </si>
  <si>
    <t>concentration of heavy metals in soil: V</t>
  </si>
  <si>
    <t>ConcentrationZn</t>
  </si>
  <si>
    <t>concentration of heavy metals in soil: Zn</t>
  </si>
  <si>
    <t>Concentration of PFAS-43</t>
  </si>
  <si>
    <t>Concentration of PFAS-21</t>
  </si>
  <si>
    <t>ConcentrationPFAS-21</t>
  </si>
  <si>
    <t>ConcentrationPFAS-43</t>
  </si>
  <si>
    <t>SoilErosionRate</t>
  </si>
  <si>
    <t>LandFragmentation</t>
  </si>
  <si>
    <t>LandRecyclingRate</t>
  </si>
  <si>
    <t>LandTakenCommercialActivities</t>
  </si>
  <si>
    <t>land taken for commercial activities</t>
  </si>
  <si>
    <t>land taken for logistic hubs</t>
  </si>
  <si>
    <t>LandTakenLogisticHubs</t>
  </si>
  <si>
    <t>LandTakenRenewableEnergies</t>
  </si>
  <si>
    <t>land taken for renewable energies</t>
  </si>
  <si>
    <t>LandTakenAirports</t>
  </si>
  <si>
    <t>land taken for airports</t>
  </si>
  <si>
    <t>LandTakenRoads</t>
  </si>
  <si>
    <t>land taken for roads</t>
  </si>
  <si>
    <t>LandTakenMines</t>
  </si>
  <si>
    <t>land taken for mines</t>
  </si>
  <si>
    <t xml:space="preserve">Land use change to settlement area - average per year in km2 </t>
  </si>
  <si>
    <t>Land use change to settlement area  - average per year in % of Member State surface</t>
  </si>
  <si>
    <t xml:space="preserve">Land use change from settlement area  - average per year in km2 </t>
  </si>
  <si>
    <t>Land use change from settlement area  - average per year in % of Member State surface</t>
  </si>
  <si>
    <t>LUCFromSettlement%</t>
  </si>
  <si>
    <t xml:space="preserve">LUCFromSettlementKm2 </t>
  </si>
  <si>
    <t>LUCToSettlement%</t>
  </si>
  <si>
    <t xml:space="preserve">LUCToSettlementKm2 </t>
  </si>
  <si>
    <t>SoilArtificialisation</t>
  </si>
  <si>
    <t>Soil sealing  (average per year – in km2)</t>
  </si>
  <si>
    <t>Soil sealing  (average per year – in % of Member State surface)</t>
  </si>
  <si>
    <t>Soil removal  (average per year – in km2)</t>
  </si>
  <si>
    <t>Soil removal  (average per year – in % of Member State surface)</t>
  </si>
  <si>
    <t>Soil de-sealing  (average per year – in km2)</t>
  </si>
  <si>
    <t>Soil de-sealing  (average per year – in % of Member State surface)</t>
  </si>
  <si>
    <t>Soil net-sealing (average per year – in km2)</t>
  </si>
  <si>
    <t>Soil net-sealing (average per year – in % of Member State surface)</t>
  </si>
  <si>
    <t>AveSoilSealingKm2</t>
  </si>
  <si>
    <t>AveSoilRemovalKm2</t>
  </si>
  <si>
    <t>AveSoilRemoval%</t>
  </si>
  <si>
    <t>AveSoilDe-sealing%</t>
  </si>
  <si>
    <t>AveSoilNet-sealingKm2</t>
  </si>
  <si>
    <t>AveSoilNet-sealing%</t>
  </si>
  <si>
    <t>TotalSoilRemovalKm2</t>
  </si>
  <si>
    <t>TotalSoilRemoval%</t>
  </si>
  <si>
    <t>Total sealed soils and areas that underwent soil removal (km2 of Member State surface)</t>
  </si>
  <si>
    <t>Total sealed soils and areas that underwent soil removal (% of Member State surface)</t>
  </si>
  <si>
    <t>TotalSettlementAreaKm2</t>
  </si>
  <si>
    <t>TotalSettlementArea%</t>
  </si>
  <si>
    <t>Total settlement area (km2 of Member State surface)</t>
  </si>
  <si>
    <t>Total settlement area (% of Member State surface)</t>
  </si>
  <si>
    <t>BulkDensitySubsoil</t>
  </si>
  <si>
    <t>BulkDensityTopsoil</t>
  </si>
  <si>
    <t>AveSoilDe-sealingKm2</t>
  </si>
  <si>
    <t>AveSoilSealing%</t>
  </si>
  <si>
    <t>skos:notation</t>
  </si>
  <si>
    <t>???</t>
  </si>
  <si>
    <t>AbundanceEarthworms</t>
  </si>
  <si>
    <t>DiversityEarthworms</t>
  </si>
  <si>
    <t>AbundanceNativeAnts</t>
  </si>
  <si>
    <t>DiversityNativeAnts</t>
  </si>
  <si>
    <t>AbundanceNematodes</t>
  </si>
  <si>
    <t>DiversityNematodes</t>
  </si>
  <si>
    <t>AbundanceSpringtails</t>
  </si>
  <si>
    <t>DiversitySpringtails</t>
  </si>
  <si>
    <t>qudt:applicableUnit</t>
  </si>
  <si>
    <t>sml:part</t>
  </si>
  <si>
    <t xml:space="preserve">A </t>
  </si>
  <si>
    <t>abundance of earthworms</t>
  </si>
  <si>
    <t>diversity of earthworms</t>
  </si>
  <si>
    <t>abundance of native ants</t>
  </si>
  <si>
    <t>diversity of native ants</t>
  </si>
  <si>
    <t>abundance of nematodes</t>
  </si>
  <si>
    <t>abundance of springtails</t>
  </si>
  <si>
    <t>diversity of nematodes</t>
  </si>
  <si>
    <t>diversity of springtails</t>
  </si>
  <si>
    <t>Part A</t>
  </si>
  <si>
    <t>Part B</t>
  </si>
  <si>
    <t>Part C</t>
  </si>
  <si>
    <t>Part D</t>
  </si>
  <si>
    <t>skos:historyNote</t>
  </si>
  <si>
    <t>Member States may also measure other related optional indicators, such as: soil artificialisation</t>
  </si>
  <si>
    <t>Member States may also measure other related optional indicators, such as: land fragmentation</t>
  </si>
  <si>
    <t>Member States may also measure other related optional indicators, such as: land recycling rate</t>
  </si>
  <si>
    <t>Member States may also select the optional descriptor: base saturation (i.e. (Ca + Mg + K)/effective cation exchange capacity (CEC))</t>
  </si>
  <si>
    <t>Optional: SOC content (g per kg)</t>
  </si>
  <si>
    <t>Member States may also select at least one optional soil descriptor for biodiversity, such as: abundance and diversity of earthworms</t>
  </si>
  <si>
    <t>Member States may also select at least one optional soil descriptor for biodiversity, such as: abundance and diversity of native ants</t>
  </si>
  <si>
    <t>Member States may also select at least one optional soil descriptor for biodiversity, such as: abundance and diversity of nematodes</t>
  </si>
  <si>
    <t>Member States may also select at least one optional soil descriptor for biodiversity, such as: abundance and diversity of springtails</t>
  </si>
  <si>
    <t>Member States may also select at least one optional soil descriptor for biodiversity, such as: metabarcoding of archaea, protists and animals</t>
  </si>
  <si>
    <t>Member States may also select at least one optional soil descriptor for biodiversity, such as: phospholipid fatty acid analysis (PLFA)</t>
  </si>
  <si>
    <t>Member States may also select at least one optional soil descriptor for biodiversity, such as: presence of invasive alien species and plant pests</t>
  </si>
  <si>
    <t>Member States may also select at least one optional soil descriptor for biodiversity, such as: soil basal respiration</t>
  </si>
  <si>
    <t>Member States may also select at least one optional soil descriptor for biodiversity, such as: soil biological quality based on arthropods (QBS-ar)</t>
  </si>
  <si>
    <t>X</t>
  </si>
  <si>
    <t>skos:scopeNote</t>
  </si>
  <si>
    <t>Mandatory</t>
  </si>
  <si>
    <t>Optional Part A, Mandatory Part B</t>
  </si>
  <si>
    <t>Optional Parts A and C, Mandatory Part B</t>
  </si>
  <si>
    <t>Conditional, at least one optional soil descriptor for loss of soil biodiversity</t>
  </si>
  <si>
    <t>SML-PartA</t>
  </si>
  <si>
    <t>SML-PartB</t>
  </si>
  <si>
    <t>SML-PartC</t>
  </si>
  <si>
    <t>SML-PartD</t>
  </si>
  <si>
    <t>Soil Monitoring Law - Part A: soil descriptors with criteria for healthy soil condition established at Union level</t>
  </si>
  <si>
    <t>Soil Monitoring Law - Part B: soil descriptors with criteria for healthy soil condition established at Member State level</t>
  </si>
  <si>
    <t>Soil Monitoring Law - Part C: soil descriptors without criteria</t>
  </si>
  <si>
    <t>Soil Monitoring Law - Part D: soil sealing and soil removal indicators</t>
  </si>
  <si>
    <t>skos:member</t>
  </si>
  <si>
    <t>Unclear</t>
  </si>
  <si>
    <t>Subdescriptor</t>
  </si>
  <si>
    <t>Reference methodology</t>
  </si>
  <si>
    <t>Minimum methodological criteria</t>
  </si>
  <si>
    <t>Validated transfer function required</t>
  </si>
  <si>
    <t>Soil texture (clay, silt and sand content – needed for the determination of other descriptors and related ranges)</t>
  </si>
  <si>
    <t>ISO 11277 Determination of particle size distribution in mineral soil material – Method by sieving and sedimentation</t>
  </si>
  <si>
    <t>Not applicable</t>
  </si>
  <si>
    <t>YES</t>
  </si>
  <si>
    <t>Electrical conductivity</t>
  </si>
  <si>
    <t>Standard operating procedure
 for saturated soil paste extract: https://www.fao.org/3/cb3355en/cb3355en.pdf</t>
  </si>
  <si>
    <t>Soil erosion rate</t>
  </si>
  <si>
    <t>Soil erosion by water</t>
  </si>
  <si>
    <t>Soil erosion by water shall be assessed by considering the following factors:
 * soil characteristics (e.g. erodibility, soil crusting, soil roughness, stoniness)
 * topography (e.g. slope steepness and length)
 * climate (e.g. rainfall erosivity – intensity and duration)
 * vegetation cover, crop type, land use and management practices to control or reduce erosion
 * management practices (e.g. cover crops, reduced tillage, mulching, etc.)
 * burned areas</t>
  </si>
  <si>
    <t>Soil erosion by wind</t>
  </si>
  <si>
    <t>Soil erosion by wind shall be assessed by considering the following factors:
 * soil characteristics (e.g. erodibility)
 * climate (e.g. soil moisture, wind speed, evaporation)
 * vegetation (e.g. crop type)
 * management practices to control or reduce erosion (e.g. wind breaks)</t>
  </si>
  <si>
    <t>Soil Organic Carbon (SOC)</t>
  </si>
  <si>
    <t>ISO 10694 Determination of organic and total carbon after dry combustion, ensuring all carbon is incinerated
 SOC shall be calculated by determining the total carbon content and subtracting the carbon present as carbonate, which shall be determined in accordance with ISO 10693</t>
  </si>
  <si>
    <t>SOC stocks</t>
  </si>
  <si>
    <t>Methodology as set out in Annex V to Regulation (EU) 2018/1999 in accordance with the 2006 IPCC Guidelines for National Greenhouse Gas Inventories</t>
  </si>
  <si>
    <t>ISO 11272 for determination of dry bulk density</t>
  </si>
  <si>
    <t>Methodology may be refined depending on the proportion of coarse fragments</t>
  </si>
  <si>
    <t>Extractable phosphorus</t>
  </si>
  <si>
    <t>Other methods may be used as an alternative</t>
  </si>
  <si>
    <t>concentration of heavy metals in soil: As, Sb, Cd, Co, Cr (total), Cu, Hg, Pb, Ni, Tl, V, Zn</t>
  </si>
  <si>
    <t>ISO 54321: Aqua Regia</t>
  </si>
  <si>
    <t>Optional: bioavailable fractions of contaminants, such as ISO 17586 using dilute nitric acid</t>
  </si>
  <si>
    <t>Soil water holding capacity, air capacity and saturated hydraulic conductivity</t>
  </si>
  <si>
    <t>(1) Soil water holding capacity and air capacity:</t>
  </si>
  <si>
    <t>— for the area of soil not sealed or areas that did not undergo soil removal, estimate the total value of soil water holding capacity, air capacity and saturated hydraulic conductivity
 — for the area of sealed and removed soils, consider setting the water holding capacity, air capacity and saturated hydraulic conductivity of impervious areas to zero, attributing proportionately intermediate values to semi-impervious and other artificial areas</t>
  </si>
  <si>
    <t>YES (for point value)</t>
  </si>
  <si>
    <t>(2) Saturated hydraulic conductivity:</t>
  </si>
  <si>
    <t>Nitrogen in soil</t>
  </si>
  <si>
    <t>Soil acidity</t>
  </si>
  <si>
    <t>ISO 10390 for determination of pH in H2O, KCl and CaCl2 extract</t>
  </si>
  <si>
    <t>Base saturation and exchangeable concentrations of sodium, potassium, calcium and magnesium</t>
  </si>
  <si>
    <t>ISO 11260 for determination of effective cation exchange capacity and base saturation level using BaCl2</t>
  </si>
  <si>
    <t>Bulk density in ‘topsoil’ (A-horizon)</t>
  </si>
  <si>
    <t>sosa:forProperty</t>
  </si>
  <si>
    <t>Note</t>
  </si>
  <si>
    <t>ISO 11265 Determination of the specific electrical conductivity</t>
  </si>
  <si>
    <t>saturated soil paste extract (eEC) measurement method (FAO SOP: GLOSOLAN-SOP-08 )</t>
  </si>
  <si>
    <t>LABORATORY: ISO 11274 for determination of the water-retention characteristic</t>
  </si>
  <si>
    <t>ESTIMATION: apply pedotransfer functions requiring input variables such as particle size distribution, bulk density, soil organic carbon concentration</t>
  </si>
  <si>
    <t>LABORATORY: ISO 17313: Determination of hydraulic conductivity of saturated porous materials</t>
  </si>
  <si>
    <t>ISO 11261 for determination of total soil nitrogen using a modified Kjeldahl method</t>
  </si>
  <si>
    <t>ISO 13878 for determination of total nitrogen by dry combustion</t>
  </si>
  <si>
    <t>GLOSOLAN-SOP-08</t>
  </si>
  <si>
    <t>ErosionWater</t>
  </si>
  <si>
    <t>ErosionWind</t>
  </si>
  <si>
    <t>SOC-EU2018.1999AnnexV</t>
  </si>
  <si>
    <t>ISO 11263 for spectrometric determination of phosphorus soluble in sodium hydrogen carbonate solution (P-Olsen)</t>
  </si>
  <si>
    <t>bioavailable fractions of contaminants, such as ISO 17586 using dilute nitric acid</t>
  </si>
  <si>
    <t>SoilWaterHoldingCapacityTransferFunction</t>
  </si>
  <si>
    <t>KsatTransferFunction</t>
  </si>
  <si>
    <t>ISO11277</t>
  </si>
  <si>
    <t>ISO11265</t>
  </si>
  <si>
    <t>ISO10694</t>
  </si>
  <si>
    <t>ISO11272</t>
  </si>
  <si>
    <t>ISO11263</t>
  </si>
  <si>
    <t>ISO54321</t>
  </si>
  <si>
    <t>ISO17586</t>
  </si>
  <si>
    <t>ISO11274</t>
  </si>
  <si>
    <t>ISO17313</t>
  </si>
  <si>
    <t>ISO11261</t>
  </si>
  <si>
    <t>ISO13878</t>
  </si>
  <si>
    <t>ISO10390</t>
  </si>
  <si>
    <t>ISO11260</t>
  </si>
  <si>
    <t>SMLMethods</t>
  </si>
  <si>
    <t>saturated soil paste extract (eEC) measurement method (FAO SOP: GLOSOLAN-SOP-08 )
Standard operating procedure
 for saturated soil paste extract: https://www.fao.org/3/cb3355en/cb3355en.pdf</t>
  </si>
  <si>
    <t xml:space="preserve">
Soil erosion by water shall be assessed by considering the following factors:
 * soil characteristics (e.g. erodibility, soil crusting, soil roughness, stoniness)
 * topography (e.g. slope steepness and length)
 * climate (e.g. rainfall erosivity – intensity and duration)
 * vegetation cover, crop type, land use and management practices to control or reduce erosion
 * management practices (e.g. cover crops, reduced tillage, mulching, etc.)
 * burned areas</t>
  </si>
  <si>
    <t xml:space="preserve">
Soil erosion by wind shall be assessed by considering the following factors:
 * soil characteristics (e.g. erodibility)
 * climate (e.g. soil moisture, wind speed, evaporation)
 * vegetation (e.g. crop type)
 * management practices to control or reduce erosion (e.g. wind breaks)</t>
  </si>
  <si>
    <t>ISO 11263 for spectrometric determination of phosphorus soluble in sodium hydrogen carbonate solution (P-Olsen)
Other methods may be used as an alternative</t>
  </si>
  <si>
    <t>ISO 54321: Aqua Regia
Optional: bioavailable fractions of contaminants, such as ISO 17586 using dilute nitric acid</t>
  </si>
  <si>
    <t>LABORATORY: ISO 11274 for determination of the water-retention characteristic
— for the area of soil not sealed or areas that did not undergo soil removal, estimate the total value of soil water holding capacity, air capacity and saturated hydraulic conductivity
 — for the area of sealed and removed soils, consider setting the water holding capacity, air capacity and saturated hydraulic conductivity of impervious areas to zero, attributing proportionately intermediate values to semi-impervious and other artificial areas</t>
  </si>
  <si>
    <t>ESTIMATION: apply pedotransfer functions requiring input variables such as particle size distribution, bulk density, soil organic carbon concentration
— for the area of soil not sealed or areas that did not undergo soil removal, estimate the total value of soil water holding capacity, air capacity and saturated hydraulic conductivity
 — for the area of sealed and removed soils, consider setting the water holding capacity, air capacity and saturated hydraulic conductivity of impervious areas to zero, attributing proportionately intermediate values to semi-impervious and other artificial areas</t>
  </si>
  <si>
    <t>LABORATORY: ISO 17313: Determination of hydraulic conductivity of saturated porous materials
— for the area of soil not sealed or areas that did not undergo soil removal, estimate the total value of soil water holding capacity, air capacity and saturated hydraulic conductivity
 — for the area of sealed and removed soils, consider setting the water holding capacity, air capacity and saturated hydraulic conductivity of impervious areas to zero, attributing proportionately intermediate values to semi-impervious and other artificial areas</t>
  </si>
  <si>
    <t>ISO 11272 for determination of dry bulk density
Methodology may be refined depending on the proportion of coarse fragments
As defined in the FAO Guidelines for Soil Description, Chapter 5 (https://www.fao.org/3/a0541e/a0541e.pdf)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</si>
</sst>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 yy"/>
  </numFmts>
  <fonts count="10">
    <font>
      <sz val="10"/>
      <color rgb="FF000000"/>
      <name val="Arial"/>
      <scheme val="minor"/>
    </font>
    <font>
      <sz val="11"/>
      <color theme="1"/>
      <name val="Arial"/>
      <family val="2"/>
      <scheme val="minor"/>
    </font>
    <font>
      <b/>
      <sz val="11"/>
      <color rgb="FF000000"/>
      <name val="Calibri"/>
      <family val="2"/>
    </font>
    <font>
      <sz val="11"/>
      <color rgb="FF000000"/>
      <name val="Calibri"/>
      <family val="2"/>
    </font>
    <font>
      <sz val="10"/>
      <color rgb="FF000000"/>
      <name val="Arial"/>
      <family val="2"/>
      <scheme val="minor"/>
    </font>
    <font>
      <b/>
      <sz val="10"/>
      <color rgb="FF000000"/>
      <name val="Arial"/>
      <family val="2"/>
      <scheme val="minor"/>
    </font>
    <font>
      <sz val="11"/>
      <color rgb="FF000000"/>
      <name val="Calibri"/>
      <family val="2"/>
    </font>
    <font>
      <b/>
      <sz val="11"/>
      <color rgb="FF000000"/>
      <name val="Calibri"/>
      <family val="2"/>
    </font>
    <font>
      <b/>
      <sz val="10"/>
      <color rgb="FF000000"/>
      <name val="Arial Unicode MS"/>
    </font>
    <font>
      <b/>
      <sz val="11"/>
      <color theme="1"/>
      <name val="Arial"/>
      <family val="2"/>
      <scheme val="minor"/>
    </font>
  </fonts>
  <fills count="5">
    <fill>
      <patternFill patternType="none"/>
    </fill>
    <fill>
      <patternFill patternType="gray125"/>
    </fill>
    <fill>
      <patternFill patternType="solid">
        <fgColor rgb="FFC6E0B4"/>
        <bgColor rgb="FFC6E0B4"/>
      </patternFill>
    </fill>
    <fill>
      <patternFill patternType="solid">
        <fgColor rgb="FFF8CBAD"/>
        <bgColor rgb="FFF8CBAD"/>
      </patternFill>
    </fill>
    <fill>
      <patternFill patternType="solid">
        <fgColor theme="7" tint="0.79998168889431442"/>
        <bgColor indexed="64"/>
      </patternFill>
    </fill>
  </fills>
  <borders count="3">
    <border>
      <left/>
      <right/>
      <top/>
      <bottom/>
      <diagonal/>
    </border>
    <border>
      <left/>
      <right style="thin">
        <color indexed="64"/>
      </right>
      <top/>
      <bottom/>
      <diagonal/>
    </border>
    <border>
      <left style="thin">
        <color indexed="64"/>
      </left>
      <right style="thin">
        <color indexed="64"/>
      </right>
      <top/>
      <bottom/>
      <diagonal/>
    </border>
  </borders>
  <cellStyleXfs count="3">
    <xf numFmtId="0" fontId="0" fillId="0" borderId="0"/>
    <xf numFmtId="0" fontId="4" fillId="0" borderId="0"/>
    <xf numFmtId="0" fontId="1" fillId="0" borderId="0"/>
  </cellStyleXfs>
  <cellXfs count="38">
    <xf numFmtId="0" fontId="0" fillId="0" borderId="0" xfId="0"/>
    <xf numFmtId="0" fontId="2" fillId="0" borderId="0" xfId="0" applyFont="1"/>
    <xf numFmtId="0" fontId="3" fillId="0" borderId="0" xfId="0" applyFont="1"/>
    <xf numFmtId="0" fontId="3" fillId="2" borderId="0" xfId="0" applyFont="1" applyFill="1"/>
    <xf numFmtId="0" fontId="3" fillId="0" borderId="0" xfId="0" applyFont="1" applyAlignment="1">
      <alignment horizontal="right"/>
    </xf>
    <xf numFmtId="0" fontId="3" fillId="3" borderId="0" xfId="0" applyFont="1" applyFill="1"/>
    <xf numFmtId="164" fontId="3" fillId="0" borderId="0" xfId="0" applyNumberFormat="1" applyFont="1"/>
    <xf numFmtId="0" fontId="0" fillId="0" borderId="0" xfId="0" pivotButton="1"/>
    <xf numFmtId="0" fontId="0" fillId="0" borderId="0" xfId="0" applyAlignment="1">
      <alignment horizontal="left"/>
    </xf>
    <xf numFmtId="0" fontId="0" fillId="4" borderId="0" xfId="0" applyFill="1" applyAlignment="1">
      <alignment horizontal="left"/>
    </xf>
    <xf numFmtId="0" fontId="0" fillId="4" borderId="0" xfId="0" applyFill="1"/>
    <xf numFmtId="0" fontId="0" fillId="0" borderId="1" xfId="0" applyBorder="1"/>
    <xf numFmtId="0" fontId="4" fillId="0" borderId="0" xfId="0" applyFont="1"/>
    <xf numFmtId="0" fontId="4" fillId="0" borderId="1" xfId="0" applyFont="1" applyBorder="1"/>
    <xf numFmtId="0" fontId="4" fillId="0" borderId="0" xfId="0" applyFont="1" applyAlignment="1">
      <alignment horizontal="left"/>
    </xf>
    <xf numFmtId="0" fontId="5" fillId="0" borderId="0" xfId="0" applyFont="1"/>
    <xf numFmtId="0" fontId="5" fillId="0" borderId="1" xfId="0" applyFont="1" applyBorder="1"/>
    <xf numFmtId="0" fontId="6" fillId="0" borderId="0" xfId="0" applyFont="1"/>
    <xf numFmtId="0" fontId="0" fillId="0" borderId="2" xfId="0" applyBorder="1"/>
    <xf numFmtId="0" fontId="5" fillId="0" borderId="2" xfId="0" applyFont="1" applyBorder="1"/>
    <xf numFmtId="0" fontId="4" fillId="0" borderId="2" xfId="0" applyFont="1" applyBorder="1"/>
    <xf numFmtId="0" fontId="7" fillId="0" borderId="0" xfId="1" applyFont="1" applyAlignment="1">
      <alignment vertical="top"/>
    </xf>
    <xf numFmtId="0" fontId="4" fillId="0" borderId="0" xfId="1"/>
    <xf numFmtId="0" fontId="6" fillId="0" borderId="0" xfId="1" applyFont="1" applyAlignment="1">
      <alignment vertical="top"/>
    </xf>
    <xf numFmtId="0" fontId="6" fillId="0" borderId="0" xfId="1" applyFont="1" applyAlignment="1">
      <alignment horizontal="right" vertical="top"/>
    </xf>
    <xf numFmtId="0" fontId="7" fillId="0" borderId="0" xfId="1" applyFont="1" applyAlignment="1">
      <alignment vertical="top" wrapText="1"/>
    </xf>
    <xf numFmtId="0" fontId="6" fillId="0" borderId="0" xfId="1" applyFont="1" applyAlignment="1">
      <alignment vertical="top" wrapText="1"/>
    </xf>
    <xf numFmtId="0" fontId="4" fillId="0" borderId="0" xfId="1" applyAlignment="1">
      <alignment wrapText="1"/>
    </xf>
    <xf numFmtId="0" fontId="4" fillId="0" borderId="0" xfId="1" applyAlignment="1">
      <alignment vertical="top" wrapText="1"/>
    </xf>
    <xf numFmtId="0" fontId="5" fillId="0" borderId="0" xfId="1" applyFont="1" applyAlignment="1">
      <alignment wrapText="1"/>
    </xf>
    <xf numFmtId="0" fontId="5" fillId="0" borderId="0" xfId="1" applyFont="1"/>
    <xf numFmtId="0" fontId="0" fillId="0" borderId="0" xfId="0" applyAlignment="1">
      <alignment wrapText="1"/>
    </xf>
    <xf numFmtId="0" fontId="5" fillId="0" borderId="0" xfId="0" applyFont="1" applyAlignment="1">
      <alignment wrapText="1"/>
    </xf>
    <xf numFmtId="0" fontId="8" fillId="0" borderId="0" xfId="0" applyFont="1" applyAlignment="1">
      <alignment vertical="center"/>
    </xf>
    <xf numFmtId="0" fontId="3" fillId="0" borderId="0" xfId="0" applyFont="1"/>
    <xf numFmtId="0" fontId="0" fillId="0" borderId="0" xfId="0"/>
    <xf numFmtId="0" fontId="1" fillId="0" borderId="0" xfId="2"/>
    <xf numFmtId="0" fontId="9" fillId="0" borderId="0" xfId="2" applyFont="1"/>
  </cellXfs>
  <cellStyles count="3">
    <cellStyle name="Normal" xfId="0" builtinId="0"/>
    <cellStyle name="Normal 2" xfId="1" xr:uid="{CE8EB4D1-0823-4C0E-8617-2F112A8E8DA7}"/>
    <cellStyle name="Normal 3" xfId="2" xr:uid="{97E590FC-4193-4B20-BB11-A900CBA14524}"/>
  </cellStyles>
  <dxfs count="2">
    <dxf>
      <fill>
        <patternFill patternType="solid">
          <bgColor theme="7" tint="0.79998168889431442"/>
        </patternFill>
      </fill>
    </dxf>
    <dxf>
      <fill>
        <patternFill patternType="solid">
          <bgColor theme="7"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hi" refreshedDate="46313.531260995369" createdVersion="8" refreshedVersion="8" minRefreshableVersion="3" recordCount="59" xr:uid="{909884F1-69B3-46E8-9F03-B776398BBC0D}">
  <cacheSource type="worksheet">
    <worksheetSource ref="A1:C1048576" sheet="Sheet5"/>
  </cacheSource>
  <cacheFields count="3">
    <cacheField name="Aspect of soil degradation" numFmtId="0">
      <sharedItems containsBlank="1" count="14">
        <m/>
        <s v="Salinisation"/>
        <s v="Loss of Soil Organic Carbon (SOC)"/>
        <s v="Subsoil compaction"/>
        <s v="Excess nutrient content in soil"/>
        <s v="Soil erosion"/>
        <s v="Soil contamination"/>
        <s v="Reduction of soil water retention and infiltration"/>
        <s v="Loss of SOC"/>
        <s v="Acidification"/>
        <s v="Topsoil compaction"/>
        <s v="Loss of soil biodiversity"/>
        <s v="Aspect of soil degradation"/>
        <s v="Soil sealing and soil removal"/>
      </sharedItems>
    </cacheField>
    <cacheField name="Optional" numFmtId="0">
      <sharedItems containsBlank="1"/>
    </cacheField>
    <cacheField name="Soil descriptor" numFmtId="0">
      <sharedItems containsBlank="1" count="45">
        <m/>
        <s v="Electrical conductivity (deci-Siemens per meter)"/>
        <s v="SOC concentration (g per kg)"/>
        <s v="Bulk density in subsoil (g per cm3)"/>
        <s v="saturated hydraulic conductivity – Ksat (cm per day)"/>
        <s v="air capacity (%)"/>
        <s v="Extractable phosphorus (mg per kg)"/>
        <s v="Soil erosion rate (tonnes per hectare per year)"/>
        <s v="concentration of heavy metals in soil: As, Sb, Cd, Co, Cr (total), Cu, Hg, Pb, Ni, Tl, V, Zn (mg per kg)"/>
        <s v="concentration of a selection of organic contaminants established by Member States and taking into account existing concentration limits in Union law, e.g. for water quality and air emissions"/>
        <s v="Water retention: soil water holding capacity of the soil sample (% of water per total soil (volume or mass))"/>
        <s v="Water infiltration: saturated hydraulic conductivity – Ksat (cm per day)"/>
        <s v="Water infiltration: air capacity (%)"/>
        <s v="SOC stocks (tC ha-1)"/>
        <s v="SOC content (g per kg)"/>
        <s v="Total nitrogen content in soil (mg g-1)"/>
        <s v="SOC to nitrogen ratio"/>
        <s v="Soil acidity (pH)"/>
        <s v="base saturation (i.e. (Ca + Mg + K)/effective cation exchange capacity (CEC))"/>
        <s v="Bulk density in topsoil (A-horizon) (g cm-3)"/>
        <s v="saturated hydraulic conductivity (cm per day)"/>
        <s v="DNA metabarcoding for fungi and bacteria"/>
        <s v="metabarcoding of archaea, protists and animals"/>
        <s v="phospholipid fatty acid analysis (PLFA)"/>
        <s v="abundance and diversity of nematodes"/>
        <s v="abundance and diversity of earthworms"/>
        <s v="abundance and diversity of springtails"/>
        <s v="abundance and diversity of native ants"/>
        <s v="soil biological quality based on arthropods (QBS-ar)"/>
        <s v="presence of invasive alien species and plant pests"/>
        <s v="soil basal respiration"/>
        <s v="Concentrations of PFAS-21(9) (9) (9) or concentrations of PFAS-43(10) (10) (10) or selected PFAS set by Member States in accordance with Article 7(4)"/>
        <s v="Concentrations of selected active substances in pesticides and their metabolites set by Member States in accordance with Article 7(4)"/>
        <s v="concentrations or presence of a selection of other emerging soil contaminants set by Member States in accordance with Article 7(4)"/>
        <s v="Soil sealing indicators"/>
        <s v="Soil removal indicators"/>
        <s v="Total sealed soils and areas that underwent soil removal (km2 and % of Member State surface)"/>
        <s v="Soil sealing and soil removal, de-sealing and net-sealing (average per year – in km2 and % of Member State surface)"/>
        <s v="Total settlement area (km2 and % of Member State surface)"/>
        <s v="Land use change to and from settlement area (average per year – in km2 and % of Member State surface)"/>
        <s v="soil artificialisation"/>
        <s v="land fragmentation"/>
        <s v="land recycling rate"/>
        <s v="land taken for commercial activities, logistic hubs, renewable energies, surfaces such as airports, roads, mines"/>
        <s v="consequences of soil sealing and soil removal, such as quantification of loss of ecosystem services, change in the intensity of flood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
  <r>
    <x v="0"/>
    <m/>
    <x v="0"/>
  </r>
  <r>
    <x v="1"/>
    <m/>
    <x v="1"/>
  </r>
  <r>
    <x v="2"/>
    <m/>
    <x v="2"/>
  </r>
  <r>
    <x v="2"/>
    <m/>
    <x v="2"/>
  </r>
  <r>
    <x v="3"/>
    <m/>
    <x v="3"/>
  </r>
  <r>
    <x v="3"/>
    <m/>
    <x v="3"/>
  </r>
  <r>
    <x v="3"/>
    <m/>
    <x v="3"/>
  </r>
  <r>
    <x v="3"/>
    <m/>
    <x v="3"/>
  </r>
  <r>
    <x v="3"/>
    <m/>
    <x v="3"/>
  </r>
  <r>
    <x v="3"/>
    <s v="*"/>
    <x v="4"/>
  </r>
  <r>
    <x v="3"/>
    <s v="*"/>
    <x v="5"/>
  </r>
  <r>
    <x v="0"/>
    <m/>
    <x v="0"/>
  </r>
  <r>
    <x v="4"/>
    <m/>
    <x v="6"/>
  </r>
  <r>
    <x v="5"/>
    <m/>
    <x v="7"/>
  </r>
  <r>
    <x v="6"/>
    <m/>
    <x v="8"/>
  </r>
  <r>
    <x v="6"/>
    <m/>
    <x v="9"/>
  </r>
  <r>
    <x v="7"/>
    <m/>
    <x v="10"/>
  </r>
  <r>
    <x v="7"/>
    <m/>
    <x v="11"/>
  </r>
  <r>
    <x v="7"/>
    <m/>
    <x v="12"/>
  </r>
  <r>
    <x v="8"/>
    <m/>
    <x v="13"/>
  </r>
  <r>
    <x v="8"/>
    <m/>
    <x v="14"/>
  </r>
  <r>
    <x v="0"/>
    <m/>
    <x v="0"/>
  </r>
  <r>
    <x v="4"/>
    <m/>
    <x v="15"/>
  </r>
  <r>
    <x v="4"/>
    <m/>
    <x v="16"/>
  </r>
  <r>
    <x v="9"/>
    <m/>
    <x v="17"/>
  </r>
  <r>
    <x v="9"/>
    <s v="*"/>
    <x v="18"/>
  </r>
  <r>
    <x v="10"/>
    <m/>
    <x v="19"/>
  </r>
  <r>
    <x v="10"/>
    <m/>
    <x v="20"/>
  </r>
  <r>
    <x v="10"/>
    <m/>
    <x v="5"/>
  </r>
  <r>
    <x v="11"/>
    <m/>
    <x v="21"/>
  </r>
  <r>
    <x v="11"/>
    <m/>
    <x v="22"/>
  </r>
  <r>
    <x v="11"/>
    <m/>
    <x v="23"/>
  </r>
  <r>
    <x v="11"/>
    <m/>
    <x v="24"/>
  </r>
  <r>
    <x v="11"/>
    <m/>
    <x v="25"/>
  </r>
  <r>
    <x v="11"/>
    <m/>
    <x v="26"/>
  </r>
  <r>
    <x v="11"/>
    <m/>
    <x v="27"/>
  </r>
  <r>
    <x v="11"/>
    <m/>
    <x v="28"/>
  </r>
  <r>
    <x v="11"/>
    <m/>
    <x v="29"/>
  </r>
  <r>
    <x v="11"/>
    <m/>
    <x v="30"/>
  </r>
  <r>
    <x v="6"/>
    <m/>
    <x v="31"/>
  </r>
  <r>
    <x v="6"/>
    <m/>
    <x v="32"/>
  </r>
  <r>
    <x v="6"/>
    <s v="*"/>
    <x v="33"/>
  </r>
  <r>
    <x v="0"/>
    <m/>
    <x v="0"/>
  </r>
  <r>
    <x v="12"/>
    <m/>
    <x v="34"/>
  </r>
  <r>
    <x v="12"/>
    <m/>
    <x v="35"/>
  </r>
  <r>
    <x v="13"/>
    <m/>
    <x v="36"/>
  </r>
  <r>
    <x v="13"/>
    <m/>
    <x v="36"/>
  </r>
  <r>
    <x v="13"/>
    <m/>
    <x v="37"/>
  </r>
  <r>
    <x v="13"/>
    <m/>
    <x v="37"/>
  </r>
  <r>
    <x v="13"/>
    <m/>
    <x v="38"/>
  </r>
  <r>
    <x v="13"/>
    <m/>
    <x v="38"/>
  </r>
  <r>
    <x v="13"/>
    <m/>
    <x v="39"/>
  </r>
  <r>
    <x v="13"/>
    <m/>
    <x v="39"/>
  </r>
  <r>
    <x v="13"/>
    <s v="*"/>
    <x v="40"/>
  </r>
  <r>
    <x v="13"/>
    <s v="*"/>
    <x v="41"/>
  </r>
  <r>
    <x v="13"/>
    <s v="*"/>
    <x v="42"/>
  </r>
  <r>
    <x v="13"/>
    <s v="*"/>
    <x v="43"/>
  </r>
  <r>
    <x v="13"/>
    <s v="*"/>
    <x v="44"/>
  </r>
  <r>
    <x v="0"/>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73FD54-CE4C-4013-8CE4-532E4298E8A8}"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P50" firstHeaderRow="1" firstDataRow="2" firstDataCol="1"/>
  <pivotFields count="3">
    <pivotField axis="axisCol" dataField="1" showAll="0">
      <items count="15">
        <item x="9"/>
        <item x="12"/>
        <item x="4"/>
        <item x="8"/>
        <item x="11"/>
        <item x="2"/>
        <item x="7"/>
        <item x="1"/>
        <item x="6"/>
        <item x="5"/>
        <item x="13"/>
        <item x="3"/>
        <item x="10"/>
        <item x="0"/>
        <item t="default"/>
      </items>
    </pivotField>
    <pivotField showAll="0"/>
    <pivotField axis="axisRow" showAll="0">
      <items count="46">
        <item x="25"/>
        <item x="27"/>
        <item x="24"/>
        <item x="26"/>
        <item x="5"/>
        <item x="18"/>
        <item x="3"/>
        <item x="19"/>
        <item x="9"/>
        <item x="8"/>
        <item x="31"/>
        <item x="32"/>
        <item x="33"/>
        <item x="44"/>
        <item x="21"/>
        <item x="1"/>
        <item x="6"/>
        <item x="41"/>
        <item x="42"/>
        <item x="43"/>
        <item x="39"/>
        <item x="22"/>
        <item x="23"/>
        <item x="29"/>
        <item x="4"/>
        <item x="20"/>
        <item x="2"/>
        <item x="14"/>
        <item x="13"/>
        <item x="16"/>
        <item x="17"/>
        <item x="40"/>
        <item x="30"/>
        <item x="28"/>
        <item x="7"/>
        <item x="35"/>
        <item x="37"/>
        <item x="34"/>
        <item x="15"/>
        <item x="36"/>
        <item x="38"/>
        <item x="12"/>
        <item x="11"/>
        <item x="10"/>
        <item x="0"/>
        <item t="default"/>
      </items>
    </pivotField>
  </pivotFields>
  <rowFields count="1">
    <field x="2"/>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0"/>
  </colFields>
  <colItems count="15">
    <i>
      <x/>
    </i>
    <i>
      <x v="1"/>
    </i>
    <i>
      <x v="2"/>
    </i>
    <i>
      <x v="3"/>
    </i>
    <i>
      <x v="4"/>
    </i>
    <i>
      <x v="5"/>
    </i>
    <i>
      <x v="6"/>
    </i>
    <i>
      <x v="7"/>
    </i>
    <i>
      <x v="8"/>
    </i>
    <i>
      <x v="9"/>
    </i>
    <i>
      <x v="10"/>
    </i>
    <i>
      <x v="11"/>
    </i>
    <i>
      <x v="12"/>
    </i>
    <i>
      <x v="13"/>
    </i>
    <i t="grand">
      <x/>
    </i>
  </colItems>
  <dataFields count="1">
    <dataField name="Count of Aspect of soil degradation" fld="0" subtotal="count" baseField="0" baseItem="0"/>
  </dataFields>
  <formats count="2">
    <format dxfId="1">
      <pivotArea collapsedLevelsAreSubtotals="1" fieldPosition="0">
        <references count="1">
          <reference field="2" count="1">
            <x v="4"/>
          </reference>
        </references>
      </pivotArea>
    </format>
    <format dxfId="0">
      <pivotArea dataOnly="0" labelOnly="1" fieldPosition="0">
        <references count="1">
          <reference field="2"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5BCA4-C7BC-4D82-BD9C-402420547CF6}">
  <dimension ref="A1:D10"/>
  <sheetViews>
    <sheetView tabSelected="1" workbookViewId="0">
      <selection activeCell="B43" sqref="B43"/>
    </sheetView>
  </sheetViews>
  <sheetFormatPr defaultRowHeight="12.75"/>
  <cols>
    <col min="1" max="1" width="14.42578125" bestFit="1" customWidth="1"/>
    <col min="2" max="2" width="17" bestFit="1" customWidth="1"/>
    <col min="3" max="3" width="20.140625" bestFit="1" customWidth="1"/>
    <col min="4" max="4" width="24.85546875" bestFit="1" customWidth="1"/>
  </cols>
  <sheetData>
    <row r="1" spans="1:4">
      <c r="A1" t="s">
        <v>129</v>
      </c>
      <c r="B1" s="12" t="s">
        <v>139</v>
      </c>
      <c r="C1" t="s">
        <v>130</v>
      </c>
      <c r="D1" s="13" t="s">
        <v>121</v>
      </c>
    </row>
    <row r="2" spans="1:4">
      <c r="A2" s="12" t="s">
        <v>138</v>
      </c>
      <c r="B2" s="12" t="s">
        <v>138</v>
      </c>
      <c r="C2" s="8" t="s">
        <v>77</v>
      </c>
      <c r="D2" s="8" t="s">
        <v>77</v>
      </c>
    </row>
    <row r="3" spans="1:4">
      <c r="A3" s="12" t="s">
        <v>138</v>
      </c>
      <c r="B3" s="12" t="s">
        <v>138</v>
      </c>
      <c r="C3" s="14" t="s">
        <v>131</v>
      </c>
      <c r="D3" s="8" t="s">
        <v>67</v>
      </c>
    </row>
    <row r="4" spans="1:4">
      <c r="A4" s="12" t="s">
        <v>138</v>
      </c>
      <c r="B4" s="12" t="s">
        <v>138</v>
      </c>
      <c r="C4" s="14" t="s">
        <v>132</v>
      </c>
      <c r="D4" s="8" t="s">
        <v>85</v>
      </c>
    </row>
    <row r="5" spans="1:4">
      <c r="A5" s="12" t="s">
        <v>138</v>
      </c>
      <c r="B5" s="12" t="s">
        <v>138</v>
      </c>
      <c r="C5" s="8" t="s">
        <v>11</v>
      </c>
      <c r="D5" s="8" t="s">
        <v>11</v>
      </c>
    </row>
    <row r="6" spans="1:4">
      <c r="A6" s="12" t="s">
        <v>138</v>
      </c>
      <c r="B6" s="12" t="s">
        <v>138</v>
      </c>
      <c r="C6" s="14" t="s">
        <v>133</v>
      </c>
      <c r="D6" s="8" t="s">
        <v>55</v>
      </c>
    </row>
    <row r="7" spans="1:4">
      <c r="A7" s="12" t="s">
        <v>138</v>
      </c>
      <c r="B7" s="12" t="s">
        <v>138</v>
      </c>
      <c r="C7" s="14" t="s">
        <v>134</v>
      </c>
      <c r="D7" s="8" t="s">
        <v>51</v>
      </c>
    </row>
    <row r="8" spans="1:4">
      <c r="A8" s="12" t="s">
        <v>138</v>
      </c>
      <c r="B8" s="12" t="s">
        <v>138</v>
      </c>
      <c r="C8" s="14" t="s">
        <v>135</v>
      </c>
      <c r="D8" s="8" t="s">
        <v>104</v>
      </c>
    </row>
    <row r="9" spans="1:4">
      <c r="A9" s="12" t="s">
        <v>138</v>
      </c>
      <c r="B9" s="12" t="s">
        <v>138</v>
      </c>
      <c r="C9" s="14" t="s">
        <v>136</v>
      </c>
      <c r="D9" s="8" t="s">
        <v>23</v>
      </c>
    </row>
    <row r="10" spans="1:4">
      <c r="A10" s="12" t="s">
        <v>138</v>
      </c>
      <c r="B10" s="12" t="s">
        <v>138</v>
      </c>
      <c r="C10" s="14" t="s">
        <v>137</v>
      </c>
      <c r="D10" s="8" t="s">
        <v>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3FFAB-8633-414C-9593-F0B7D4968BF2}">
  <dimension ref="A1:I47"/>
  <sheetViews>
    <sheetView workbookViewId="0">
      <selection activeCell="A2" sqref="A2"/>
    </sheetView>
  </sheetViews>
  <sheetFormatPr defaultRowHeight="14.25"/>
  <cols>
    <col min="1" max="1" width="16.140625" style="36" bestFit="1" customWidth="1"/>
    <col min="2" max="2" width="45.140625" style="36" bestFit="1" customWidth="1"/>
    <col min="3" max="4" width="9.140625" style="36"/>
    <col min="5" max="5" width="22.140625" style="36" customWidth="1"/>
    <col min="6" max="6" width="20.140625" style="36" customWidth="1"/>
    <col min="7" max="7" width="19.28515625" style="36" customWidth="1"/>
    <col min="8" max="16384" width="9.140625" style="36"/>
  </cols>
  <sheetData>
    <row r="1" spans="1:9" s="37" customFormat="1" ht="15">
      <c r="A1" s="37" t="s">
        <v>129</v>
      </c>
      <c r="B1" s="37" t="s">
        <v>122</v>
      </c>
      <c r="C1" s="37" t="s">
        <v>122</v>
      </c>
      <c r="D1" s="37" t="s">
        <v>122</v>
      </c>
      <c r="E1" s="37" t="s">
        <v>239</v>
      </c>
      <c r="F1" s="37" t="s">
        <v>280</v>
      </c>
      <c r="G1" s="37" t="s">
        <v>121</v>
      </c>
      <c r="H1" s="37" t="s">
        <v>249</v>
      </c>
      <c r="I1" s="37" t="s">
        <v>264</v>
      </c>
    </row>
    <row r="2" spans="1:9">
      <c r="A2" s="36" t="s">
        <v>138</v>
      </c>
      <c r="B2" s="36" t="s">
        <v>77</v>
      </c>
      <c r="E2" s="36" t="s">
        <v>140</v>
      </c>
      <c r="F2" s="36" t="s">
        <v>2</v>
      </c>
      <c r="G2" s="36" t="s">
        <v>80</v>
      </c>
      <c r="H2" s="36" t="s">
        <v>43</v>
      </c>
      <c r="I2" s="36" t="s">
        <v>268</v>
      </c>
    </row>
    <row r="3" spans="1:9">
      <c r="A3" s="36" t="s">
        <v>138</v>
      </c>
      <c r="B3" s="36" t="s">
        <v>77</v>
      </c>
      <c r="E3" s="36" t="s">
        <v>141</v>
      </c>
      <c r="F3" s="36" t="s">
        <v>281</v>
      </c>
      <c r="G3" s="36" t="s">
        <v>78</v>
      </c>
      <c r="H3" s="36" t="s">
        <v>79</v>
      </c>
      <c r="I3" s="36" t="s">
        <v>78</v>
      </c>
    </row>
    <row r="4" spans="1:9">
      <c r="A4" s="36" t="s">
        <v>138</v>
      </c>
      <c r="B4" s="36" t="s">
        <v>46</v>
      </c>
      <c r="E4" s="36" t="s">
        <v>142</v>
      </c>
      <c r="F4" s="36" t="s">
        <v>281</v>
      </c>
      <c r="G4" s="36" t="s">
        <v>47</v>
      </c>
      <c r="H4" s="36" t="s">
        <v>48</v>
      </c>
      <c r="I4" s="36" t="s">
        <v>47</v>
      </c>
    </row>
    <row r="5" spans="1:9">
      <c r="A5" s="36" t="s">
        <v>138</v>
      </c>
      <c r="B5" s="36" t="s">
        <v>46</v>
      </c>
      <c r="E5" s="36" t="s">
        <v>143</v>
      </c>
      <c r="F5" s="36" t="s">
        <v>281</v>
      </c>
      <c r="G5" s="36" t="s">
        <v>76</v>
      </c>
      <c r="H5" s="36" t="s">
        <v>43</v>
      </c>
      <c r="I5" s="36" t="s">
        <v>76</v>
      </c>
    </row>
    <row r="6" spans="1:9">
      <c r="A6" s="36" t="s">
        <v>138</v>
      </c>
      <c r="B6" s="36" t="s">
        <v>46</v>
      </c>
      <c r="E6" s="36" t="s">
        <v>144</v>
      </c>
      <c r="F6" s="36" t="s">
        <v>281</v>
      </c>
      <c r="G6" s="36" t="s">
        <v>74</v>
      </c>
      <c r="H6" s="36" t="s">
        <v>75</v>
      </c>
      <c r="I6" s="36" t="s">
        <v>74</v>
      </c>
    </row>
    <row r="7" spans="1:9">
      <c r="A7" s="36" t="s">
        <v>138</v>
      </c>
      <c r="B7" s="36" t="s">
        <v>67</v>
      </c>
      <c r="E7" s="36" t="s">
        <v>145</v>
      </c>
      <c r="F7" s="36" t="s">
        <v>2</v>
      </c>
      <c r="G7" s="36" t="s">
        <v>72</v>
      </c>
      <c r="H7" s="36" t="s">
        <v>18</v>
      </c>
      <c r="I7" s="36" t="s">
        <v>269</v>
      </c>
    </row>
    <row r="8" spans="1:9">
      <c r="A8" s="36" t="s">
        <v>138</v>
      </c>
      <c r="B8" s="36" t="s">
        <v>67</v>
      </c>
      <c r="E8" s="36" t="s">
        <v>146</v>
      </c>
      <c r="F8" s="36" t="s">
        <v>281</v>
      </c>
      <c r="G8" s="36" t="s">
        <v>68</v>
      </c>
      <c r="H8" s="36" t="s">
        <v>69</v>
      </c>
      <c r="I8" s="36" t="s">
        <v>68</v>
      </c>
    </row>
    <row r="9" spans="1:9">
      <c r="A9" s="36" t="s">
        <v>138</v>
      </c>
      <c r="B9" s="36" t="s">
        <v>67</v>
      </c>
      <c r="E9" s="36" t="s">
        <v>153</v>
      </c>
      <c r="F9" s="36" t="s">
        <v>281</v>
      </c>
      <c r="G9" s="36" t="s">
        <v>17</v>
      </c>
      <c r="H9" s="36" t="s">
        <v>18</v>
      </c>
      <c r="I9" s="36" t="s">
        <v>17</v>
      </c>
    </row>
    <row r="10" spans="1:9">
      <c r="A10" s="36" t="s">
        <v>138</v>
      </c>
      <c r="B10" s="36" t="s">
        <v>60</v>
      </c>
      <c r="C10" s="36" t="s">
        <v>23</v>
      </c>
      <c r="D10" s="36" t="s">
        <v>81</v>
      </c>
      <c r="E10" s="36" t="s">
        <v>154</v>
      </c>
      <c r="F10" s="36" t="s">
        <v>282</v>
      </c>
      <c r="G10" s="36" t="s">
        <v>42</v>
      </c>
      <c r="H10" s="36" t="s">
        <v>43</v>
      </c>
      <c r="I10" s="36" t="s">
        <v>42</v>
      </c>
    </row>
    <row r="11" spans="1:9">
      <c r="A11" s="36" t="s">
        <v>138</v>
      </c>
      <c r="B11" s="36" t="s">
        <v>60</v>
      </c>
      <c r="C11" s="36" t="s">
        <v>23</v>
      </c>
      <c r="D11" s="36" t="s">
        <v>81</v>
      </c>
      <c r="E11" s="36" t="s">
        <v>155</v>
      </c>
      <c r="F11" s="36" t="s">
        <v>283</v>
      </c>
      <c r="G11" s="36" t="s">
        <v>37</v>
      </c>
      <c r="H11" s="36" t="s">
        <v>38</v>
      </c>
      <c r="I11" s="36" t="s">
        <v>37</v>
      </c>
    </row>
    <row r="12" spans="1:9">
      <c r="A12" s="36" t="s">
        <v>138</v>
      </c>
      <c r="B12" s="36" t="s">
        <v>60</v>
      </c>
      <c r="E12" s="36" t="s">
        <v>156</v>
      </c>
      <c r="F12" s="36" t="s">
        <v>281</v>
      </c>
      <c r="G12" s="36" t="s">
        <v>158</v>
      </c>
      <c r="H12" s="36" t="s">
        <v>43</v>
      </c>
      <c r="I12" s="36" t="s">
        <v>61</v>
      </c>
    </row>
    <row r="13" spans="1:9">
      <c r="A13" s="36" t="s">
        <v>138</v>
      </c>
      <c r="B13" s="36" t="s">
        <v>60</v>
      </c>
      <c r="E13" s="36" t="s">
        <v>157</v>
      </c>
      <c r="F13" s="36" t="s">
        <v>281</v>
      </c>
      <c r="G13" s="36" t="s">
        <v>159</v>
      </c>
      <c r="H13" s="36" t="s">
        <v>43</v>
      </c>
      <c r="I13" s="36" t="s">
        <v>61</v>
      </c>
    </row>
    <row r="14" spans="1:9">
      <c r="A14" s="36" t="s">
        <v>138</v>
      </c>
      <c r="B14" s="36" t="s">
        <v>11</v>
      </c>
      <c r="E14" s="36" t="s">
        <v>160</v>
      </c>
      <c r="F14" s="36" t="s">
        <v>281</v>
      </c>
      <c r="G14" s="36" t="s">
        <v>12</v>
      </c>
      <c r="H14" s="36" t="s">
        <v>13</v>
      </c>
      <c r="I14" s="36" t="s">
        <v>12</v>
      </c>
    </row>
    <row r="15" spans="1:9">
      <c r="A15" s="36" t="s">
        <v>138</v>
      </c>
      <c r="B15" s="36" t="s">
        <v>55</v>
      </c>
      <c r="E15" s="36" t="s">
        <v>161</v>
      </c>
      <c r="F15" s="36" t="s">
        <v>281</v>
      </c>
      <c r="G15" s="36" t="s">
        <v>162</v>
      </c>
      <c r="H15" s="36" t="s">
        <v>48</v>
      </c>
      <c r="I15" s="36" t="s">
        <v>56</v>
      </c>
    </row>
    <row r="16" spans="1:9">
      <c r="A16" s="36" t="s">
        <v>138</v>
      </c>
      <c r="B16" s="36" t="s">
        <v>55</v>
      </c>
      <c r="E16" s="36" t="s">
        <v>163</v>
      </c>
      <c r="F16" s="36" t="s">
        <v>281</v>
      </c>
      <c r="G16" s="36" t="s">
        <v>164</v>
      </c>
      <c r="H16" s="36" t="s">
        <v>48</v>
      </c>
      <c r="I16" s="36" t="s">
        <v>56</v>
      </c>
    </row>
    <row r="17" spans="1:9">
      <c r="A17" s="36" t="s">
        <v>138</v>
      </c>
      <c r="B17" s="36" t="s">
        <v>55</v>
      </c>
      <c r="E17" s="36" t="s">
        <v>165</v>
      </c>
      <c r="F17" s="36" t="s">
        <v>281</v>
      </c>
      <c r="G17" s="36" t="s">
        <v>166</v>
      </c>
      <c r="H17" s="36" t="s">
        <v>48</v>
      </c>
      <c r="I17" s="36" t="s">
        <v>56</v>
      </c>
    </row>
    <row r="18" spans="1:9">
      <c r="A18" s="36" t="s">
        <v>138</v>
      </c>
      <c r="B18" s="36" t="s">
        <v>55</v>
      </c>
      <c r="E18" s="36" t="s">
        <v>167</v>
      </c>
      <c r="F18" s="36" t="s">
        <v>281</v>
      </c>
      <c r="G18" s="36" t="s">
        <v>168</v>
      </c>
      <c r="H18" s="36" t="s">
        <v>48</v>
      </c>
      <c r="I18" s="36" t="s">
        <v>56</v>
      </c>
    </row>
    <row r="19" spans="1:9">
      <c r="A19" s="36" t="s">
        <v>138</v>
      </c>
      <c r="B19" s="36" t="s">
        <v>55</v>
      </c>
      <c r="E19" s="36" t="s">
        <v>169</v>
      </c>
      <c r="F19" s="36" t="s">
        <v>281</v>
      </c>
      <c r="G19" s="36" t="s">
        <v>170</v>
      </c>
      <c r="H19" s="36" t="s">
        <v>48</v>
      </c>
      <c r="I19" s="36" t="s">
        <v>56</v>
      </c>
    </row>
    <row r="20" spans="1:9">
      <c r="A20" s="36" t="s">
        <v>138</v>
      </c>
      <c r="B20" s="36" t="s">
        <v>55</v>
      </c>
      <c r="E20" s="36" t="s">
        <v>171</v>
      </c>
      <c r="F20" s="36" t="s">
        <v>281</v>
      </c>
      <c r="G20" s="36" t="s">
        <v>172</v>
      </c>
      <c r="H20" s="36" t="s">
        <v>48</v>
      </c>
      <c r="I20" s="36" t="s">
        <v>56</v>
      </c>
    </row>
    <row r="21" spans="1:9">
      <c r="A21" s="36" t="s">
        <v>138</v>
      </c>
      <c r="B21" s="36" t="s">
        <v>55</v>
      </c>
      <c r="E21" s="36" t="s">
        <v>173</v>
      </c>
      <c r="F21" s="36" t="s">
        <v>281</v>
      </c>
      <c r="G21" s="36" t="s">
        <v>174</v>
      </c>
      <c r="H21" s="36" t="s">
        <v>48</v>
      </c>
      <c r="I21" s="36" t="s">
        <v>56</v>
      </c>
    </row>
    <row r="22" spans="1:9">
      <c r="A22" s="36" t="s">
        <v>138</v>
      </c>
      <c r="B22" s="36" t="s">
        <v>55</v>
      </c>
      <c r="E22" s="36" t="s">
        <v>175</v>
      </c>
      <c r="F22" s="36" t="s">
        <v>281</v>
      </c>
      <c r="G22" s="36" t="s">
        <v>176</v>
      </c>
      <c r="H22" s="36" t="s">
        <v>48</v>
      </c>
      <c r="I22" s="36" t="s">
        <v>56</v>
      </c>
    </row>
    <row r="23" spans="1:9">
      <c r="A23" s="36" t="s">
        <v>138</v>
      </c>
      <c r="B23" s="36" t="s">
        <v>55</v>
      </c>
      <c r="E23" s="36" t="s">
        <v>177</v>
      </c>
      <c r="F23" s="36" t="s">
        <v>281</v>
      </c>
      <c r="G23" s="36" t="s">
        <v>178</v>
      </c>
      <c r="H23" s="36" t="s">
        <v>48</v>
      </c>
      <c r="I23" s="36" t="s">
        <v>56</v>
      </c>
    </row>
    <row r="24" spans="1:9">
      <c r="A24" s="36" t="s">
        <v>138</v>
      </c>
      <c r="B24" s="36" t="s">
        <v>55</v>
      </c>
      <c r="E24" s="36" t="s">
        <v>179</v>
      </c>
      <c r="F24" s="36" t="s">
        <v>281</v>
      </c>
      <c r="G24" s="36" t="s">
        <v>180</v>
      </c>
      <c r="H24" s="36" t="s">
        <v>48</v>
      </c>
      <c r="I24" s="36" t="s">
        <v>56</v>
      </c>
    </row>
    <row r="25" spans="1:9">
      <c r="A25" s="36" t="s">
        <v>138</v>
      </c>
      <c r="B25" s="36" t="s">
        <v>55</v>
      </c>
      <c r="E25" s="36" t="s">
        <v>181</v>
      </c>
      <c r="F25" s="36" t="s">
        <v>281</v>
      </c>
      <c r="G25" s="36" t="s">
        <v>182</v>
      </c>
      <c r="H25" s="36" t="s">
        <v>48</v>
      </c>
      <c r="I25" s="36" t="s">
        <v>56</v>
      </c>
    </row>
    <row r="26" spans="1:9">
      <c r="A26" s="36" t="s">
        <v>138</v>
      </c>
      <c r="B26" s="36" t="s">
        <v>55</v>
      </c>
      <c r="E26" s="36" t="s">
        <v>183</v>
      </c>
      <c r="F26" s="36" t="s">
        <v>281</v>
      </c>
      <c r="G26" s="36" t="s">
        <v>184</v>
      </c>
      <c r="H26" s="36" t="s">
        <v>48</v>
      </c>
      <c r="I26" s="36" t="s">
        <v>56</v>
      </c>
    </row>
    <row r="27" spans="1:9">
      <c r="A27" s="36" t="s">
        <v>138</v>
      </c>
      <c r="B27" s="36" t="s">
        <v>55</v>
      </c>
      <c r="E27" s="36" t="s">
        <v>187</v>
      </c>
      <c r="F27" s="36" t="s">
        <v>281</v>
      </c>
      <c r="G27" s="36" t="s">
        <v>186</v>
      </c>
      <c r="H27" s="36" t="s">
        <v>48</v>
      </c>
      <c r="I27" s="36" t="s">
        <v>96</v>
      </c>
    </row>
    <row r="28" spans="1:9">
      <c r="A28" s="36" t="s">
        <v>138</v>
      </c>
      <c r="B28" s="36" t="s">
        <v>55</v>
      </c>
      <c r="E28" s="36" t="s">
        <v>188</v>
      </c>
      <c r="F28" s="36" t="s">
        <v>281</v>
      </c>
      <c r="G28" s="36" t="s">
        <v>185</v>
      </c>
      <c r="H28" s="36" t="s">
        <v>48</v>
      </c>
      <c r="I28" s="36" t="s">
        <v>96</v>
      </c>
    </row>
    <row r="29" spans="1:9">
      <c r="A29" s="36" t="s">
        <v>138</v>
      </c>
      <c r="B29" s="36" t="s">
        <v>51</v>
      </c>
      <c r="E29" s="36" t="s">
        <v>189</v>
      </c>
      <c r="F29" s="36" t="s">
        <v>281</v>
      </c>
      <c r="G29" s="36" t="s">
        <v>52</v>
      </c>
      <c r="H29" s="36" t="s">
        <v>53</v>
      </c>
      <c r="I29" s="36" t="s">
        <v>52</v>
      </c>
    </row>
    <row r="30" spans="1:9">
      <c r="A30" s="36" t="s">
        <v>138</v>
      </c>
      <c r="B30" s="36" t="s">
        <v>104</v>
      </c>
      <c r="E30" s="36" t="s">
        <v>211</v>
      </c>
      <c r="F30" s="36" t="s">
        <v>281</v>
      </c>
      <c r="G30" s="36" t="s">
        <v>204</v>
      </c>
      <c r="H30" s="36" t="s">
        <v>106</v>
      </c>
      <c r="I30" s="36" t="s">
        <v>109</v>
      </c>
    </row>
    <row r="31" spans="1:9">
      <c r="A31" s="36" t="s">
        <v>138</v>
      </c>
      <c r="B31" s="36" t="s">
        <v>104</v>
      </c>
      <c r="E31" s="36" t="s">
        <v>210</v>
      </c>
      <c r="F31" s="36" t="s">
        <v>281</v>
      </c>
      <c r="G31" s="36" t="s">
        <v>205</v>
      </c>
      <c r="H31" s="36" t="s">
        <v>43</v>
      </c>
      <c r="I31" s="36" t="s">
        <v>109</v>
      </c>
    </row>
    <row r="32" spans="1:9">
      <c r="A32" s="36" t="s">
        <v>138</v>
      </c>
      <c r="B32" s="36" t="s">
        <v>104</v>
      </c>
      <c r="E32" s="36" t="s">
        <v>209</v>
      </c>
      <c r="F32" s="36" t="s">
        <v>281</v>
      </c>
      <c r="G32" s="36" t="s">
        <v>206</v>
      </c>
      <c r="H32" s="36" t="s">
        <v>106</v>
      </c>
      <c r="I32" s="36" t="s">
        <v>109</v>
      </c>
    </row>
    <row r="33" spans="1:9">
      <c r="A33" s="36" t="s">
        <v>138</v>
      </c>
      <c r="B33" s="36" t="s">
        <v>104</v>
      </c>
      <c r="E33" s="36" t="s">
        <v>208</v>
      </c>
      <c r="F33" s="36" t="s">
        <v>281</v>
      </c>
      <c r="G33" s="36" t="s">
        <v>207</v>
      </c>
      <c r="H33" s="36" t="s">
        <v>43</v>
      </c>
      <c r="I33" s="36" t="s">
        <v>109</v>
      </c>
    </row>
    <row r="34" spans="1:9">
      <c r="A34" s="36" t="s">
        <v>138</v>
      </c>
      <c r="B34" s="36" t="s">
        <v>104</v>
      </c>
      <c r="E34" s="36" t="s">
        <v>221</v>
      </c>
      <c r="F34" s="36" t="s">
        <v>281</v>
      </c>
      <c r="G34" s="36" t="s">
        <v>213</v>
      </c>
      <c r="H34" s="36" t="s">
        <v>106</v>
      </c>
      <c r="I34" s="36" t="s">
        <v>107</v>
      </c>
    </row>
    <row r="35" spans="1:9">
      <c r="A35" s="36" t="s">
        <v>138</v>
      </c>
      <c r="B35" s="36" t="s">
        <v>104</v>
      </c>
      <c r="E35" s="36" t="s">
        <v>238</v>
      </c>
      <c r="F35" s="36" t="s">
        <v>281</v>
      </c>
      <c r="G35" s="36" t="s">
        <v>214</v>
      </c>
      <c r="H35" s="36" t="s">
        <v>43</v>
      </c>
      <c r="I35" s="36" t="s">
        <v>107</v>
      </c>
    </row>
    <row r="36" spans="1:9">
      <c r="A36" s="36" t="s">
        <v>138</v>
      </c>
      <c r="B36" s="36" t="s">
        <v>104</v>
      </c>
      <c r="E36" s="36" t="s">
        <v>222</v>
      </c>
      <c r="F36" s="36" t="s">
        <v>281</v>
      </c>
      <c r="G36" s="36" t="s">
        <v>215</v>
      </c>
      <c r="H36" s="36" t="s">
        <v>106</v>
      </c>
      <c r="I36" s="36" t="s">
        <v>107</v>
      </c>
    </row>
    <row r="37" spans="1:9">
      <c r="A37" s="36" t="s">
        <v>138</v>
      </c>
      <c r="B37" s="36" t="s">
        <v>104</v>
      </c>
      <c r="E37" s="36" t="s">
        <v>223</v>
      </c>
      <c r="F37" s="36" t="s">
        <v>281</v>
      </c>
      <c r="G37" s="36" t="s">
        <v>216</v>
      </c>
      <c r="H37" s="36" t="s">
        <v>43</v>
      </c>
      <c r="I37" s="36" t="s">
        <v>107</v>
      </c>
    </row>
    <row r="38" spans="1:9">
      <c r="A38" s="36" t="s">
        <v>138</v>
      </c>
      <c r="B38" s="36" t="s">
        <v>104</v>
      </c>
      <c r="E38" s="36" t="s">
        <v>237</v>
      </c>
      <c r="F38" s="36" t="s">
        <v>281</v>
      </c>
      <c r="G38" s="36" t="s">
        <v>217</v>
      </c>
      <c r="H38" s="36" t="s">
        <v>106</v>
      </c>
      <c r="I38" s="36" t="s">
        <v>107</v>
      </c>
    </row>
    <row r="39" spans="1:9">
      <c r="A39" s="36" t="s">
        <v>138</v>
      </c>
      <c r="B39" s="36" t="s">
        <v>104</v>
      </c>
      <c r="E39" s="36" t="s">
        <v>224</v>
      </c>
      <c r="F39" s="36" t="s">
        <v>281</v>
      </c>
      <c r="G39" s="36" t="s">
        <v>218</v>
      </c>
      <c r="H39" s="36" t="s">
        <v>43</v>
      </c>
      <c r="I39" s="36" t="s">
        <v>107</v>
      </c>
    </row>
    <row r="40" spans="1:9">
      <c r="A40" s="36" t="s">
        <v>138</v>
      </c>
      <c r="B40" s="36" t="s">
        <v>104</v>
      </c>
      <c r="E40" s="36" t="s">
        <v>225</v>
      </c>
      <c r="F40" s="36" t="s">
        <v>281</v>
      </c>
      <c r="G40" s="36" t="s">
        <v>219</v>
      </c>
      <c r="H40" s="36" t="s">
        <v>106</v>
      </c>
      <c r="I40" s="36" t="s">
        <v>107</v>
      </c>
    </row>
    <row r="41" spans="1:9">
      <c r="A41" s="36" t="s">
        <v>138</v>
      </c>
      <c r="B41" s="36" t="s">
        <v>104</v>
      </c>
      <c r="E41" s="36" t="s">
        <v>226</v>
      </c>
      <c r="F41" s="36" t="s">
        <v>281</v>
      </c>
      <c r="G41" s="36" t="s">
        <v>220</v>
      </c>
      <c r="H41" s="36" t="s">
        <v>43</v>
      </c>
      <c r="I41" s="36" t="s">
        <v>107</v>
      </c>
    </row>
    <row r="42" spans="1:9">
      <c r="A42" s="36" t="s">
        <v>138</v>
      </c>
      <c r="B42" s="36" t="s">
        <v>104</v>
      </c>
      <c r="E42" s="36" t="s">
        <v>227</v>
      </c>
      <c r="F42" s="36" t="s">
        <v>281</v>
      </c>
      <c r="G42" s="36" t="s">
        <v>229</v>
      </c>
      <c r="H42" s="36" t="s">
        <v>106</v>
      </c>
      <c r="I42" s="36" t="s">
        <v>105</v>
      </c>
    </row>
    <row r="43" spans="1:9">
      <c r="A43" s="36" t="s">
        <v>138</v>
      </c>
      <c r="B43" s="36" t="s">
        <v>104</v>
      </c>
      <c r="E43" s="36" t="s">
        <v>228</v>
      </c>
      <c r="F43" s="36" t="s">
        <v>281</v>
      </c>
      <c r="G43" s="36" t="s">
        <v>230</v>
      </c>
      <c r="H43" s="36" t="s">
        <v>43</v>
      </c>
      <c r="I43" s="36" t="s">
        <v>105</v>
      </c>
    </row>
    <row r="44" spans="1:9">
      <c r="A44" s="36" t="s">
        <v>138</v>
      </c>
      <c r="B44" s="36" t="s">
        <v>104</v>
      </c>
      <c r="E44" s="36" t="s">
        <v>231</v>
      </c>
      <c r="F44" s="36" t="s">
        <v>281</v>
      </c>
      <c r="G44" s="36" t="s">
        <v>233</v>
      </c>
      <c r="H44" s="36" t="s">
        <v>106</v>
      </c>
      <c r="I44" s="36" t="s">
        <v>108</v>
      </c>
    </row>
    <row r="45" spans="1:9">
      <c r="A45" s="36" t="s">
        <v>138</v>
      </c>
      <c r="B45" s="36" t="s">
        <v>104</v>
      </c>
      <c r="E45" s="36" t="s">
        <v>232</v>
      </c>
      <c r="F45" s="36" t="s">
        <v>281</v>
      </c>
      <c r="G45" s="36" t="s">
        <v>234</v>
      </c>
      <c r="H45" s="36" t="s">
        <v>43</v>
      </c>
      <c r="I45" s="36" t="s">
        <v>108</v>
      </c>
    </row>
    <row r="46" spans="1:9">
      <c r="A46" s="36" t="s">
        <v>138</v>
      </c>
      <c r="B46" s="36" t="s">
        <v>23</v>
      </c>
      <c r="E46" s="36" t="s">
        <v>235</v>
      </c>
      <c r="F46" s="36" t="s">
        <v>281</v>
      </c>
      <c r="G46" s="36" t="s">
        <v>24</v>
      </c>
      <c r="H46" s="36" t="s">
        <v>25</v>
      </c>
    </row>
    <row r="47" spans="1:9">
      <c r="A47" s="36" t="s">
        <v>138</v>
      </c>
      <c r="B47" s="36" t="s">
        <v>81</v>
      </c>
      <c r="E47" s="36" t="s">
        <v>236</v>
      </c>
      <c r="F47" s="36" t="s">
        <v>281</v>
      </c>
      <c r="G47" s="36" t="s">
        <v>82</v>
      </c>
      <c r="H47" s="36" t="s">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3F161-4EDC-4FD6-9A78-6F5816525E99}">
  <dimension ref="A1:O20"/>
  <sheetViews>
    <sheetView workbookViewId="0">
      <selection activeCell="A4" sqref="A4"/>
    </sheetView>
  </sheetViews>
  <sheetFormatPr defaultRowHeight="12.75"/>
  <cols>
    <col min="1" max="1" width="14" bestFit="1" customWidth="1"/>
    <col min="2" max="2" width="37.140625" bestFit="1" customWidth="1"/>
    <col min="3" max="3" width="65" style="31" customWidth="1"/>
    <col min="4" max="16" width="14.5703125" customWidth="1"/>
  </cols>
  <sheetData>
    <row r="1" spans="1:15" s="15" customFormat="1">
      <c r="A1" s="15" t="s">
        <v>129</v>
      </c>
      <c r="B1" s="15" t="s">
        <v>239</v>
      </c>
      <c r="C1" s="32" t="s">
        <v>128</v>
      </c>
      <c r="D1" s="15" t="s">
        <v>332</v>
      </c>
      <c r="E1" s="15" t="s">
        <v>332</v>
      </c>
      <c r="F1" s="15" t="s">
        <v>332</v>
      </c>
      <c r="G1" s="15" t="s">
        <v>332</v>
      </c>
      <c r="H1" s="15" t="s">
        <v>332</v>
      </c>
      <c r="I1" s="15" t="s">
        <v>332</v>
      </c>
      <c r="J1" s="15" t="s">
        <v>332</v>
      </c>
      <c r="K1" s="15" t="s">
        <v>332</v>
      </c>
      <c r="L1" s="15" t="s">
        <v>332</v>
      </c>
      <c r="M1" s="15" t="s">
        <v>332</v>
      </c>
      <c r="N1" s="15" t="s">
        <v>332</v>
      </c>
      <c r="O1" s="15" t="s">
        <v>332</v>
      </c>
    </row>
    <row r="2" spans="1:15" ht="25.5">
      <c r="A2" t="s">
        <v>362</v>
      </c>
      <c r="B2" t="s">
        <v>349</v>
      </c>
      <c r="C2" s="31" t="s">
        <v>300</v>
      </c>
    </row>
    <row r="3" spans="1:15">
      <c r="A3" t="s">
        <v>362</v>
      </c>
      <c r="B3" t="s">
        <v>350</v>
      </c>
      <c r="C3" s="31" t="s">
        <v>334</v>
      </c>
      <c r="D3" t="s">
        <v>160</v>
      </c>
    </row>
    <row r="4" spans="1:15" ht="63.75">
      <c r="A4" t="s">
        <v>362</v>
      </c>
      <c r="B4" t="s">
        <v>341</v>
      </c>
      <c r="C4" s="31" t="s">
        <v>363</v>
      </c>
      <c r="D4" t="s">
        <v>160</v>
      </c>
    </row>
    <row r="5" spans="1:15" ht="140.25">
      <c r="A5" t="s">
        <v>362</v>
      </c>
      <c r="B5" t="s">
        <v>342</v>
      </c>
      <c r="C5" s="31" t="s">
        <v>364</v>
      </c>
      <c r="D5" t="s">
        <v>189</v>
      </c>
    </row>
    <row r="6" spans="1:15" ht="76.5">
      <c r="A6" t="s">
        <v>362</v>
      </c>
      <c r="B6" t="s">
        <v>343</v>
      </c>
      <c r="C6" s="31" t="s">
        <v>365</v>
      </c>
      <c r="D6" t="s">
        <v>189</v>
      </c>
    </row>
    <row r="7" spans="1:15" ht="63.75">
      <c r="A7" t="s">
        <v>362</v>
      </c>
      <c r="B7" t="s">
        <v>351</v>
      </c>
      <c r="C7" s="31" t="s">
        <v>311</v>
      </c>
      <c r="D7" t="s">
        <v>153</v>
      </c>
      <c r="E7" t="s">
        <v>143</v>
      </c>
    </row>
    <row r="8" spans="1:15" ht="38.25">
      <c r="A8" t="s">
        <v>362</v>
      </c>
      <c r="B8" t="s">
        <v>344</v>
      </c>
      <c r="C8" s="31" t="s">
        <v>313</v>
      </c>
      <c r="D8" t="s">
        <v>146</v>
      </c>
    </row>
    <row r="9" spans="1:15" ht="38.25">
      <c r="A9" t="s">
        <v>362</v>
      </c>
      <c r="B9" t="s">
        <v>353</v>
      </c>
      <c r="C9" s="31" t="s">
        <v>366</v>
      </c>
      <c r="D9" t="s">
        <v>142</v>
      </c>
    </row>
    <row r="10" spans="1:15" ht="38.25">
      <c r="A10" t="s">
        <v>362</v>
      </c>
      <c r="B10" t="s">
        <v>354</v>
      </c>
      <c r="C10" s="31" t="s">
        <v>367</v>
      </c>
      <c r="D10" t="s">
        <v>161</v>
      </c>
      <c r="E10" t="s">
        <v>163</v>
      </c>
      <c r="F10" t="s">
        <v>165</v>
      </c>
      <c r="G10" t="s">
        <v>167</v>
      </c>
      <c r="H10" t="s">
        <v>169</v>
      </c>
      <c r="I10" t="s">
        <v>171</v>
      </c>
      <c r="J10" t="s">
        <v>173</v>
      </c>
      <c r="K10" t="s">
        <v>175</v>
      </c>
      <c r="L10" t="s">
        <v>177</v>
      </c>
      <c r="M10" t="s">
        <v>179</v>
      </c>
      <c r="N10" t="s">
        <v>181</v>
      </c>
      <c r="O10" t="s">
        <v>183</v>
      </c>
    </row>
    <row r="11" spans="1:15" ht="25.5">
      <c r="A11" t="s">
        <v>362</v>
      </c>
      <c r="B11" t="s">
        <v>355</v>
      </c>
      <c r="C11" s="31" t="s">
        <v>346</v>
      </c>
      <c r="D11" t="s">
        <v>161</v>
      </c>
      <c r="E11" t="s">
        <v>163</v>
      </c>
      <c r="F11" t="s">
        <v>165</v>
      </c>
      <c r="G11" t="s">
        <v>167</v>
      </c>
      <c r="H11" t="s">
        <v>169</v>
      </c>
      <c r="I11" t="s">
        <v>171</v>
      </c>
      <c r="J11" t="s">
        <v>173</v>
      </c>
      <c r="K11" t="s">
        <v>175</v>
      </c>
      <c r="L11" t="s">
        <v>177</v>
      </c>
      <c r="M11" t="s">
        <v>179</v>
      </c>
      <c r="N11" t="s">
        <v>181</v>
      </c>
      <c r="O11" t="s">
        <v>183</v>
      </c>
    </row>
    <row r="12" spans="1:15" ht="114.75">
      <c r="A12" t="s">
        <v>362</v>
      </c>
      <c r="B12" t="s">
        <v>356</v>
      </c>
      <c r="C12" s="31" t="s">
        <v>368</v>
      </c>
      <c r="D12" t="s">
        <v>154</v>
      </c>
      <c r="E12" t="s">
        <v>156</v>
      </c>
      <c r="F12" t="s">
        <v>157</v>
      </c>
    </row>
    <row r="13" spans="1:15" ht="114.75">
      <c r="A13" t="s">
        <v>362</v>
      </c>
      <c r="B13" t="s">
        <v>347</v>
      </c>
      <c r="C13" s="31" t="s">
        <v>369</v>
      </c>
      <c r="D13" t="s">
        <v>154</v>
      </c>
      <c r="E13" t="s">
        <v>156</v>
      </c>
      <c r="F13" t="s">
        <v>157</v>
      </c>
    </row>
    <row r="14" spans="1:15" ht="114.75">
      <c r="A14" t="s">
        <v>362</v>
      </c>
      <c r="B14" t="s">
        <v>357</v>
      </c>
      <c r="C14" s="31" t="s">
        <v>370</v>
      </c>
      <c r="D14" t="s">
        <v>155</v>
      </c>
    </row>
    <row r="15" spans="1:15" ht="114.75">
      <c r="A15" t="s">
        <v>362</v>
      </c>
      <c r="B15" t="s">
        <v>348</v>
      </c>
      <c r="C15" s="31" t="s">
        <v>369</v>
      </c>
      <c r="D15" t="s">
        <v>155</v>
      </c>
    </row>
    <row r="16" spans="1:15" ht="25.5">
      <c r="A16" t="s">
        <v>362</v>
      </c>
      <c r="B16" t="s">
        <v>358</v>
      </c>
      <c r="C16" s="31" t="s">
        <v>339</v>
      </c>
      <c r="D16" t="s">
        <v>144</v>
      </c>
      <c r="E16" t="s">
        <v>143</v>
      </c>
    </row>
    <row r="17" spans="1:5">
      <c r="A17" t="s">
        <v>362</v>
      </c>
      <c r="B17" t="s">
        <v>359</v>
      </c>
      <c r="C17" s="31" t="s">
        <v>340</v>
      </c>
      <c r="D17" t="s">
        <v>144</v>
      </c>
      <c r="E17" t="s">
        <v>143</v>
      </c>
    </row>
    <row r="18" spans="1:5">
      <c r="A18" t="s">
        <v>362</v>
      </c>
      <c r="B18" t="s">
        <v>360</v>
      </c>
      <c r="C18" s="31" t="s">
        <v>328</v>
      </c>
      <c r="D18" t="s">
        <v>141</v>
      </c>
    </row>
    <row r="19" spans="1:5" ht="25.5">
      <c r="A19" t="s">
        <v>362</v>
      </c>
      <c r="B19" t="s">
        <v>361</v>
      </c>
      <c r="C19" s="31" t="s">
        <v>330</v>
      </c>
      <c r="D19" t="s">
        <v>140</v>
      </c>
    </row>
    <row r="20" spans="1:5" ht="63.75">
      <c r="A20" t="s">
        <v>362</v>
      </c>
      <c r="B20" t="s">
        <v>352</v>
      </c>
      <c r="C20" s="31" t="s">
        <v>371</v>
      </c>
      <c r="D20" t="s">
        <v>236</v>
      </c>
      <c r="E20" t="s">
        <v>235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8FDCD-B3AF-4F8F-A89A-5D2374A656B3}">
  <dimension ref="A1:W5"/>
  <sheetViews>
    <sheetView workbookViewId="0">
      <selection activeCell="C18" sqref="C18"/>
    </sheetView>
  </sheetViews>
  <sheetFormatPr defaultRowHeight="12.75"/>
  <cols>
    <col min="1" max="1" width="12.85546875" bestFit="1" customWidth="1"/>
    <col min="2" max="2" width="43.140625" bestFit="1" customWidth="1"/>
    <col min="3" max="3" width="107.28515625" bestFit="1" customWidth="1"/>
  </cols>
  <sheetData>
    <row r="1" spans="1:23" s="15" customFormat="1">
      <c r="A1" s="16" t="s">
        <v>239</v>
      </c>
      <c r="B1" s="33" t="s">
        <v>127</v>
      </c>
      <c r="C1" s="15" t="s">
        <v>128</v>
      </c>
      <c r="D1" s="15" t="s">
        <v>293</v>
      </c>
      <c r="E1" s="15" t="s">
        <v>293</v>
      </c>
      <c r="F1" s="15" t="s">
        <v>293</v>
      </c>
      <c r="G1" s="15" t="s">
        <v>293</v>
      </c>
      <c r="H1" s="15" t="s">
        <v>293</v>
      </c>
      <c r="I1" s="15" t="s">
        <v>293</v>
      </c>
      <c r="J1" s="15" t="s">
        <v>293</v>
      </c>
      <c r="K1" s="15" t="s">
        <v>293</v>
      </c>
      <c r="L1" s="15" t="s">
        <v>293</v>
      </c>
      <c r="M1" s="15" t="s">
        <v>293</v>
      </c>
      <c r="N1" s="15" t="s">
        <v>293</v>
      </c>
      <c r="O1" s="15" t="s">
        <v>293</v>
      </c>
      <c r="P1" s="15" t="s">
        <v>293</v>
      </c>
      <c r="Q1" s="15" t="s">
        <v>293</v>
      </c>
      <c r="R1" s="15" t="s">
        <v>293</v>
      </c>
      <c r="S1" s="15" t="s">
        <v>293</v>
      </c>
      <c r="T1" s="15" t="s">
        <v>293</v>
      </c>
      <c r="U1" s="15" t="s">
        <v>293</v>
      </c>
      <c r="V1" s="15" t="s">
        <v>293</v>
      </c>
      <c r="W1" s="15" t="s">
        <v>293</v>
      </c>
    </row>
    <row r="2" spans="1:23" ht="15">
      <c r="A2" t="s">
        <v>285</v>
      </c>
      <c r="B2" t="str">
        <f>"Soil Monitoring Law - "&amp;LEFT(C2, FIND(":",C2) - 1)</f>
        <v>Soil Monitoring Law - Soil Monitoring Law - Part A</v>
      </c>
      <c r="C2" s="2" t="s">
        <v>289</v>
      </c>
      <c r="D2" t="s">
        <v>153</v>
      </c>
      <c r="E2" t="s">
        <v>154</v>
      </c>
      <c r="F2" t="s">
        <v>155</v>
      </c>
      <c r="G2" t="s">
        <v>160</v>
      </c>
      <c r="H2" t="s">
        <v>235</v>
      </c>
    </row>
    <row r="3" spans="1:23" ht="15">
      <c r="A3" t="s">
        <v>286</v>
      </c>
      <c r="B3" t="str">
        <f>"Soil Monitoring Law - "&amp;LEFT(C3, FIND(":",C3) - 1)</f>
        <v>Soil Monitoring Law - Soil Monitoring Law - Part B</v>
      </c>
      <c r="C3" s="2" t="s">
        <v>290</v>
      </c>
      <c r="D3" t="s">
        <v>142</v>
      </c>
      <c r="E3" t="s">
        <v>145</v>
      </c>
      <c r="F3" t="s">
        <v>146</v>
      </c>
      <c r="G3" t="s">
        <v>154</v>
      </c>
      <c r="H3" t="s">
        <v>155</v>
      </c>
      <c r="I3" t="s">
        <v>156</v>
      </c>
      <c r="J3" t="s">
        <v>157</v>
      </c>
      <c r="K3" t="s">
        <v>161</v>
      </c>
      <c r="L3" t="s">
        <v>163</v>
      </c>
      <c r="M3" t="s">
        <v>165</v>
      </c>
      <c r="N3" t="s">
        <v>167</v>
      </c>
      <c r="O3" t="s">
        <v>169</v>
      </c>
      <c r="P3" t="s">
        <v>171</v>
      </c>
      <c r="Q3" t="s">
        <v>173</v>
      </c>
      <c r="R3" t="s">
        <v>175</v>
      </c>
      <c r="S3" t="s">
        <v>177</v>
      </c>
      <c r="T3" t="s">
        <v>179</v>
      </c>
      <c r="U3" t="s">
        <v>181</v>
      </c>
      <c r="V3" t="s">
        <v>183</v>
      </c>
      <c r="W3" t="s">
        <v>189</v>
      </c>
    </row>
    <row r="4" spans="1:23" ht="15">
      <c r="A4" t="s">
        <v>287</v>
      </c>
      <c r="B4" t="str">
        <f>"Soil Monitoring Law - "&amp;LEFT(C4, FIND(":",C4) - 1)</f>
        <v>Soil Monitoring Law - Soil Monitoring Law - Part C</v>
      </c>
      <c r="C4" s="2" t="s">
        <v>291</v>
      </c>
      <c r="D4" t="s">
        <v>140</v>
      </c>
      <c r="E4" t="s">
        <v>141</v>
      </c>
      <c r="F4" t="s">
        <v>143</v>
      </c>
      <c r="G4" t="s">
        <v>144</v>
      </c>
      <c r="H4" t="s">
        <v>154</v>
      </c>
      <c r="I4" t="s">
        <v>155</v>
      </c>
      <c r="J4" t="s">
        <v>187</v>
      </c>
      <c r="K4" t="s">
        <v>188</v>
      </c>
      <c r="L4" t="s">
        <v>236</v>
      </c>
    </row>
    <row r="5" spans="1:23" ht="15">
      <c r="A5" t="s">
        <v>288</v>
      </c>
      <c r="B5" t="str">
        <f>"Soil Monitoring Law - "&amp;LEFT(C5, FIND(":",C5) - 1)</f>
        <v>Soil Monitoring Law - Soil Monitoring Law - Part D</v>
      </c>
      <c r="C5" s="2" t="s">
        <v>292</v>
      </c>
      <c r="D5" t="s">
        <v>211</v>
      </c>
      <c r="E5" t="s">
        <v>210</v>
      </c>
      <c r="F5" t="s">
        <v>209</v>
      </c>
      <c r="G5" t="s">
        <v>208</v>
      </c>
      <c r="H5" t="s">
        <v>221</v>
      </c>
      <c r="I5" t="s">
        <v>238</v>
      </c>
      <c r="J5" t="s">
        <v>222</v>
      </c>
      <c r="K5" t="s">
        <v>223</v>
      </c>
      <c r="L5" t="s">
        <v>237</v>
      </c>
      <c r="M5" t="s">
        <v>224</v>
      </c>
      <c r="N5" t="s">
        <v>225</v>
      </c>
      <c r="O5" t="s">
        <v>226</v>
      </c>
      <c r="P5" t="s">
        <v>227</v>
      </c>
      <c r="Q5" t="s">
        <v>228</v>
      </c>
      <c r="R5" t="s">
        <v>231</v>
      </c>
      <c r="S5" t="s">
        <v>232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66588-DED0-4C51-AFC3-E30EF6E105DD}">
  <dimension ref="A3:AD52"/>
  <sheetViews>
    <sheetView topLeftCell="A11" workbookViewId="0">
      <selection activeCell="AD11" activeCellId="1" sqref="A1:A1048576 AD1:AD1048576"/>
    </sheetView>
  </sheetViews>
  <sheetFormatPr defaultRowHeight="12.75"/>
  <cols>
    <col min="1" max="1" width="38.140625" style="11" customWidth="1"/>
    <col min="2" max="29" width="9.140625" hidden="1" customWidth="1"/>
    <col min="30" max="30" width="8.5703125" bestFit="1" customWidth="1"/>
  </cols>
  <sheetData>
    <row r="3" spans="1:30">
      <c r="A3" s="11" t="s">
        <v>119</v>
      </c>
      <c r="B3" t="s">
        <v>118</v>
      </c>
    </row>
    <row r="4" spans="1:30">
      <c r="A4" s="11" t="s">
        <v>115</v>
      </c>
      <c r="B4" t="s">
        <v>77</v>
      </c>
      <c r="C4" t="s">
        <v>1</v>
      </c>
      <c r="D4" t="s">
        <v>46</v>
      </c>
      <c r="E4" t="s">
        <v>67</v>
      </c>
      <c r="F4" t="s">
        <v>85</v>
      </c>
      <c r="G4" t="s">
        <v>16</v>
      </c>
      <c r="H4" t="s">
        <v>60</v>
      </c>
      <c r="I4" t="s">
        <v>11</v>
      </c>
      <c r="J4" t="s">
        <v>55</v>
      </c>
      <c r="K4" t="s">
        <v>51</v>
      </c>
      <c r="L4" t="s">
        <v>104</v>
      </c>
      <c r="M4" t="s">
        <v>23</v>
      </c>
      <c r="N4" t="s">
        <v>81</v>
      </c>
      <c r="O4" t="s">
        <v>116</v>
      </c>
      <c r="P4" t="s">
        <v>117</v>
      </c>
      <c r="Q4" t="s">
        <v>77</v>
      </c>
      <c r="R4" t="s">
        <v>1</v>
      </c>
      <c r="S4" t="s">
        <v>46</v>
      </c>
      <c r="T4" t="s">
        <v>67</v>
      </c>
      <c r="U4" t="s">
        <v>85</v>
      </c>
      <c r="V4" t="s">
        <v>16</v>
      </c>
      <c r="W4" t="s">
        <v>60</v>
      </c>
      <c r="X4" t="s">
        <v>11</v>
      </c>
      <c r="Y4" t="s">
        <v>55</v>
      </c>
      <c r="Z4" t="s">
        <v>51</v>
      </c>
      <c r="AA4" t="s">
        <v>104</v>
      </c>
      <c r="AB4" t="s">
        <v>23</v>
      </c>
      <c r="AC4" t="s">
        <v>81</v>
      </c>
    </row>
    <row r="5" spans="1:30">
      <c r="A5" s="11" t="s">
        <v>90</v>
      </c>
      <c r="F5">
        <v>1</v>
      </c>
      <c r="P5">
        <v>1</v>
      </c>
      <c r="Q5" t="str">
        <f>IF(B5&gt;=1,Q$4,"")</f>
        <v/>
      </c>
      <c r="R5" t="str">
        <f t="shared" ref="R5:AC20" si="0">IF(C5&gt;=1,R$4,"")</f>
        <v/>
      </c>
      <c r="S5" t="str">
        <f t="shared" si="0"/>
        <v/>
      </c>
      <c r="T5" t="str">
        <f t="shared" si="0"/>
        <v/>
      </c>
      <c r="U5" t="str">
        <f t="shared" si="0"/>
        <v>Loss of soil biodiversity</v>
      </c>
      <c r="V5" t="str">
        <f t="shared" si="0"/>
        <v/>
      </c>
      <c r="W5" t="str">
        <f t="shared" si="0"/>
        <v/>
      </c>
      <c r="X5" t="str">
        <f t="shared" si="0"/>
        <v/>
      </c>
      <c r="Y5" t="str">
        <f t="shared" si="0"/>
        <v/>
      </c>
      <c r="Z5" t="str">
        <f t="shared" si="0"/>
        <v/>
      </c>
      <c r="AA5" t="str">
        <f t="shared" si="0"/>
        <v/>
      </c>
      <c r="AB5" t="str">
        <f t="shared" si="0"/>
        <v/>
      </c>
      <c r="AC5" t="str">
        <f t="shared" si="0"/>
        <v/>
      </c>
      <c r="AD5" t="str">
        <f>Q5&amp;R5&amp;S5&amp;T5&amp;U5&amp;V5&amp;W5&amp;X5&amp;Y5&amp;Z5&amp;AA5&amp;AB5&amp;AC5</f>
        <v>Loss of soil biodiversity</v>
      </c>
    </row>
    <row r="6" spans="1:30">
      <c r="A6" s="11" t="s">
        <v>92</v>
      </c>
      <c r="F6">
        <v>1</v>
      </c>
      <c r="P6">
        <v>1</v>
      </c>
      <c r="Q6" t="str">
        <f t="shared" ref="Q6:Q49" si="1">IF(B6&gt;=1,Q$4,"")</f>
        <v/>
      </c>
      <c r="R6" t="str">
        <f t="shared" si="0"/>
        <v/>
      </c>
      <c r="S6" t="str">
        <f t="shared" si="0"/>
        <v/>
      </c>
      <c r="T6" t="str">
        <f t="shared" si="0"/>
        <v/>
      </c>
      <c r="U6" t="str">
        <f t="shared" si="0"/>
        <v>Loss of soil biodiversity</v>
      </c>
      <c r="V6" t="str">
        <f t="shared" si="0"/>
        <v/>
      </c>
      <c r="W6" t="str">
        <f t="shared" si="0"/>
        <v/>
      </c>
      <c r="X6" t="str">
        <f t="shared" si="0"/>
        <v/>
      </c>
      <c r="Y6" t="str">
        <f t="shared" si="0"/>
        <v/>
      </c>
      <c r="Z6" t="str">
        <f t="shared" si="0"/>
        <v/>
      </c>
      <c r="AA6" t="str">
        <f t="shared" si="0"/>
        <v/>
      </c>
      <c r="AB6" t="str">
        <f t="shared" si="0"/>
        <v/>
      </c>
      <c r="AC6" t="str">
        <f t="shared" si="0"/>
        <v/>
      </c>
      <c r="AD6" t="str">
        <f t="shared" ref="AD6:AD52" si="2">Q6&amp;R6&amp;S6&amp;T6&amp;U6&amp;V6&amp;W6&amp;X6&amp;Y6&amp;Z6&amp;AA6&amp;AB6&amp;AC6</f>
        <v>Loss of soil biodiversity</v>
      </c>
    </row>
    <row r="7" spans="1:30">
      <c r="A7" s="11" t="s">
        <v>89</v>
      </c>
      <c r="F7">
        <v>1</v>
      </c>
      <c r="P7">
        <v>1</v>
      </c>
      <c r="Q7" t="str">
        <f t="shared" si="1"/>
        <v/>
      </c>
      <c r="R7" t="str">
        <f t="shared" si="0"/>
        <v/>
      </c>
      <c r="S7" t="str">
        <f t="shared" si="0"/>
        <v/>
      </c>
      <c r="T7" t="str">
        <f t="shared" si="0"/>
        <v/>
      </c>
      <c r="U7" t="str">
        <f t="shared" si="0"/>
        <v>Loss of soil biodiversity</v>
      </c>
      <c r="V7" t="str">
        <f t="shared" si="0"/>
        <v/>
      </c>
      <c r="W7" t="str">
        <f t="shared" si="0"/>
        <v/>
      </c>
      <c r="X7" t="str">
        <f t="shared" si="0"/>
        <v/>
      </c>
      <c r="Y7" t="str">
        <f t="shared" si="0"/>
        <v/>
      </c>
      <c r="Z7" t="str">
        <f t="shared" si="0"/>
        <v/>
      </c>
      <c r="AA7" t="str">
        <f t="shared" si="0"/>
        <v/>
      </c>
      <c r="AB7" t="str">
        <f t="shared" si="0"/>
        <v/>
      </c>
      <c r="AC7" t="str">
        <f t="shared" si="0"/>
        <v/>
      </c>
      <c r="AD7" t="str">
        <f t="shared" si="2"/>
        <v>Loss of soil biodiversity</v>
      </c>
    </row>
    <row r="8" spans="1:30">
      <c r="A8" s="11" t="s">
        <v>91</v>
      </c>
      <c r="F8">
        <v>1</v>
      </c>
      <c r="P8">
        <v>1</v>
      </c>
      <c r="Q8" t="str">
        <f t="shared" si="1"/>
        <v/>
      </c>
      <c r="R8" t="str">
        <f t="shared" si="0"/>
        <v/>
      </c>
      <c r="S8" t="str">
        <f t="shared" si="0"/>
        <v/>
      </c>
      <c r="T8" t="str">
        <f t="shared" si="0"/>
        <v/>
      </c>
      <c r="U8" t="str">
        <f t="shared" si="0"/>
        <v>Loss of soil biodiversity</v>
      </c>
      <c r="V8" t="str">
        <f t="shared" si="0"/>
        <v/>
      </c>
      <c r="W8" t="str">
        <f t="shared" si="0"/>
        <v/>
      </c>
      <c r="X8" t="str">
        <f t="shared" si="0"/>
        <v/>
      </c>
      <c r="Y8" t="str">
        <f t="shared" si="0"/>
        <v/>
      </c>
      <c r="Z8" t="str">
        <f t="shared" si="0"/>
        <v/>
      </c>
      <c r="AA8" t="str">
        <f t="shared" si="0"/>
        <v/>
      </c>
      <c r="AB8" t="str">
        <f t="shared" si="0"/>
        <v/>
      </c>
      <c r="AC8" t="str">
        <f t="shared" si="0"/>
        <v/>
      </c>
      <c r="AD8" t="str">
        <f t="shared" si="2"/>
        <v>Loss of soil biodiversity</v>
      </c>
    </row>
    <row r="9" spans="1:30">
      <c r="A9" s="11" t="s">
        <v>42</v>
      </c>
      <c r="M9">
        <v>1</v>
      </c>
      <c r="P9">
        <v>2</v>
      </c>
      <c r="Q9" t="str">
        <f t="shared" si="1"/>
        <v/>
      </c>
      <c r="R9" t="str">
        <f t="shared" si="0"/>
        <v/>
      </c>
      <c r="S9" t="str">
        <f t="shared" si="0"/>
        <v/>
      </c>
      <c r="T9" t="str">
        <f t="shared" si="0"/>
        <v/>
      </c>
      <c r="U9" t="str">
        <f t="shared" si="0"/>
        <v/>
      </c>
      <c r="V9" t="str">
        <f t="shared" si="0"/>
        <v/>
      </c>
      <c r="W9" t="str">
        <f t="shared" si="0"/>
        <v/>
      </c>
      <c r="X9" t="str">
        <f t="shared" si="0"/>
        <v/>
      </c>
      <c r="Y9" t="str">
        <f t="shared" si="0"/>
        <v/>
      </c>
      <c r="Z9" t="str">
        <f t="shared" si="0"/>
        <v/>
      </c>
      <c r="AA9" t="str">
        <f t="shared" si="0"/>
        <v/>
      </c>
      <c r="AB9" t="str">
        <f t="shared" si="0"/>
        <v>Subsoil compaction</v>
      </c>
      <c r="AC9" t="str">
        <f t="shared" si="0"/>
        <v/>
      </c>
      <c r="AD9" t="str">
        <f t="shared" si="2"/>
        <v>Subsoil compaction</v>
      </c>
    </row>
    <row r="10" spans="1:30">
      <c r="A10" s="11" t="s">
        <v>42</v>
      </c>
      <c r="N10">
        <v>1</v>
      </c>
      <c r="P10">
        <v>2</v>
      </c>
      <c r="Q10" t="str">
        <f t="shared" si="1"/>
        <v/>
      </c>
      <c r="R10" t="str">
        <f t="shared" si="0"/>
        <v/>
      </c>
      <c r="S10" t="str">
        <f t="shared" si="0"/>
        <v/>
      </c>
      <c r="T10" t="str">
        <f t="shared" si="0"/>
        <v/>
      </c>
      <c r="U10" t="str">
        <f t="shared" si="0"/>
        <v/>
      </c>
      <c r="V10" t="str">
        <f t="shared" si="0"/>
        <v/>
      </c>
      <c r="W10" t="str">
        <f t="shared" si="0"/>
        <v/>
      </c>
      <c r="X10" t="str">
        <f t="shared" si="0"/>
        <v/>
      </c>
      <c r="Y10" t="str">
        <f t="shared" si="0"/>
        <v/>
      </c>
      <c r="Z10" t="str">
        <f t="shared" si="0"/>
        <v/>
      </c>
      <c r="AA10" t="str">
        <f t="shared" si="0"/>
        <v/>
      </c>
      <c r="AB10" t="str">
        <f t="shared" si="0"/>
        <v/>
      </c>
      <c r="AC10" t="str">
        <f t="shared" si="0"/>
        <v>Topsoil compaction</v>
      </c>
      <c r="AD10" t="str">
        <f t="shared" si="2"/>
        <v>Topsoil compaction</v>
      </c>
    </row>
    <row r="11" spans="1:30">
      <c r="A11" s="11" t="s">
        <v>80</v>
      </c>
      <c r="B11">
        <v>1</v>
      </c>
      <c r="P11">
        <v>1</v>
      </c>
      <c r="Q11" t="str">
        <f t="shared" si="1"/>
        <v>Acidification</v>
      </c>
      <c r="R11" t="str">
        <f t="shared" si="0"/>
        <v/>
      </c>
      <c r="S11" t="str">
        <f t="shared" si="0"/>
        <v/>
      </c>
      <c r="T11" t="str">
        <f t="shared" si="0"/>
        <v/>
      </c>
      <c r="U11" t="str">
        <f t="shared" si="0"/>
        <v/>
      </c>
      <c r="V11" t="str">
        <f t="shared" si="0"/>
        <v/>
      </c>
      <c r="W11" t="str">
        <f t="shared" si="0"/>
        <v/>
      </c>
      <c r="X11" t="str">
        <f t="shared" si="0"/>
        <v/>
      </c>
      <c r="Y11" t="str">
        <f t="shared" si="0"/>
        <v/>
      </c>
      <c r="Z11" t="str">
        <f t="shared" si="0"/>
        <v/>
      </c>
      <c r="AA11" t="str">
        <f t="shared" si="0"/>
        <v/>
      </c>
      <c r="AB11" t="str">
        <f t="shared" si="0"/>
        <v/>
      </c>
      <c r="AC11" t="str">
        <f t="shared" si="0"/>
        <v/>
      </c>
      <c r="AD11" t="str">
        <f t="shared" si="2"/>
        <v>Acidification</v>
      </c>
    </row>
    <row r="12" spans="1:30">
      <c r="A12" s="11" t="s">
        <v>24</v>
      </c>
      <c r="M12">
        <v>5</v>
      </c>
      <c r="P12">
        <v>5</v>
      </c>
      <c r="Q12" t="str">
        <f t="shared" si="1"/>
        <v/>
      </c>
      <c r="R12" t="str">
        <f t="shared" si="0"/>
        <v/>
      </c>
      <c r="S12" t="str">
        <f t="shared" si="0"/>
        <v/>
      </c>
      <c r="T12" t="str">
        <f t="shared" si="0"/>
        <v/>
      </c>
      <c r="U12" t="str">
        <f t="shared" si="0"/>
        <v/>
      </c>
      <c r="V12" t="str">
        <f t="shared" si="0"/>
        <v/>
      </c>
      <c r="W12" t="str">
        <f t="shared" si="0"/>
        <v/>
      </c>
      <c r="X12" t="str">
        <f t="shared" si="0"/>
        <v/>
      </c>
      <c r="Y12" t="str">
        <f t="shared" si="0"/>
        <v/>
      </c>
      <c r="Z12" t="str">
        <f t="shared" si="0"/>
        <v/>
      </c>
      <c r="AA12" t="str">
        <f t="shared" si="0"/>
        <v/>
      </c>
      <c r="AB12" t="str">
        <f t="shared" si="0"/>
        <v>Subsoil compaction</v>
      </c>
      <c r="AC12" t="str">
        <f t="shared" si="0"/>
        <v/>
      </c>
      <c r="AD12" t="str">
        <f t="shared" si="2"/>
        <v>Subsoil compaction</v>
      </c>
    </row>
    <row r="13" spans="1:30">
      <c r="A13" s="11" t="s">
        <v>82</v>
      </c>
      <c r="N13">
        <v>1</v>
      </c>
      <c r="P13">
        <v>1</v>
      </c>
      <c r="Q13" t="str">
        <f t="shared" si="1"/>
        <v/>
      </c>
      <c r="R13" t="str">
        <f t="shared" si="0"/>
        <v/>
      </c>
      <c r="S13" t="str">
        <f t="shared" si="0"/>
        <v/>
      </c>
      <c r="T13" t="str">
        <f t="shared" si="0"/>
        <v/>
      </c>
      <c r="U13" t="str">
        <f t="shared" si="0"/>
        <v/>
      </c>
      <c r="V13" t="str">
        <f t="shared" si="0"/>
        <v/>
      </c>
      <c r="W13" t="str">
        <f t="shared" si="0"/>
        <v/>
      </c>
      <c r="X13" t="str">
        <f t="shared" si="0"/>
        <v/>
      </c>
      <c r="Y13" t="str">
        <f t="shared" si="0"/>
        <v/>
      </c>
      <c r="Z13" t="str">
        <f t="shared" si="0"/>
        <v/>
      </c>
      <c r="AA13" t="str">
        <f t="shared" si="0"/>
        <v/>
      </c>
      <c r="AB13" t="str">
        <f t="shared" si="0"/>
        <v/>
      </c>
      <c r="AC13" t="str">
        <f t="shared" si="0"/>
        <v>Topsoil compaction</v>
      </c>
      <c r="AD13" t="str">
        <f t="shared" si="2"/>
        <v>Topsoil compaction</v>
      </c>
    </row>
    <row r="14" spans="1:30">
      <c r="A14" s="11" t="s">
        <v>59</v>
      </c>
      <c r="J14">
        <v>1</v>
      </c>
      <c r="P14">
        <v>1</v>
      </c>
      <c r="Q14" t="str">
        <f t="shared" si="1"/>
        <v/>
      </c>
      <c r="R14" t="str">
        <f t="shared" si="0"/>
        <v/>
      </c>
      <c r="S14" t="str">
        <f t="shared" si="0"/>
        <v/>
      </c>
      <c r="T14" t="str">
        <f t="shared" si="0"/>
        <v/>
      </c>
      <c r="U14" t="str">
        <f t="shared" si="0"/>
        <v/>
      </c>
      <c r="V14" t="str">
        <f t="shared" si="0"/>
        <v/>
      </c>
      <c r="W14" t="str">
        <f t="shared" si="0"/>
        <v/>
      </c>
      <c r="X14" t="str">
        <f t="shared" si="0"/>
        <v/>
      </c>
      <c r="Y14" t="str">
        <f t="shared" si="0"/>
        <v>Soil contamination</v>
      </c>
      <c r="Z14" t="str">
        <f t="shared" si="0"/>
        <v/>
      </c>
      <c r="AA14" t="str">
        <f t="shared" si="0"/>
        <v/>
      </c>
      <c r="AB14" t="str">
        <f t="shared" si="0"/>
        <v/>
      </c>
      <c r="AC14" t="str">
        <f t="shared" si="0"/>
        <v/>
      </c>
      <c r="AD14" t="str">
        <f t="shared" si="2"/>
        <v>Soil contamination</v>
      </c>
    </row>
    <row r="15" spans="1:30">
      <c r="A15" s="11" t="s">
        <v>56</v>
      </c>
      <c r="J15">
        <v>1</v>
      </c>
      <c r="P15">
        <v>1</v>
      </c>
      <c r="Q15" t="str">
        <f t="shared" si="1"/>
        <v/>
      </c>
      <c r="R15" t="str">
        <f t="shared" si="0"/>
        <v/>
      </c>
      <c r="S15" t="str">
        <f t="shared" si="0"/>
        <v/>
      </c>
      <c r="T15" t="str">
        <f t="shared" si="0"/>
        <v/>
      </c>
      <c r="U15" t="str">
        <f t="shared" si="0"/>
        <v/>
      </c>
      <c r="V15" t="str">
        <f t="shared" si="0"/>
        <v/>
      </c>
      <c r="W15" t="str">
        <f t="shared" si="0"/>
        <v/>
      </c>
      <c r="X15" t="str">
        <f t="shared" si="0"/>
        <v/>
      </c>
      <c r="Y15" t="str">
        <f t="shared" si="0"/>
        <v>Soil contamination</v>
      </c>
      <c r="Z15" t="str">
        <f t="shared" si="0"/>
        <v/>
      </c>
      <c r="AA15" t="str">
        <f t="shared" si="0"/>
        <v/>
      </c>
      <c r="AB15" t="str">
        <f t="shared" si="0"/>
        <v/>
      </c>
      <c r="AC15" t="str">
        <f t="shared" si="0"/>
        <v/>
      </c>
      <c r="AD15" t="str">
        <f t="shared" si="2"/>
        <v>Soil contamination</v>
      </c>
    </row>
    <row r="16" spans="1:30">
      <c r="A16" s="11" t="s">
        <v>96</v>
      </c>
      <c r="J16">
        <v>1</v>
      </c>
      <c r="P16">
        <v>1</v>
      </c>
      <c r="Q16" t="str">
        <f t="shared" si="1"/>
        <v/>
      </c>
      <c r="R16" t="str">
        <f t="shared" si="0"/>
        <v/>
      </c>
      <c r="S16" t="str">
        <f t="shared" si="0"/>
        <v/>
      </c>
      <c r="T16" t="str">
        <f t="shared" si="0"/>
        <v/>
      </c>
      <c r="U16" t="str">
        <f t="shared" si="0"/>
        <v/>
      </c>
      <c r="V16" t="str">
        <f t="shared" si="0"/>
        <v/>
      </c>
      <c r="W16" t="str">
        <f t="shared" si="0"/>
        <v/>
      </c>
      <c r="X16" t="str">
        <f t="shared" si="0"/>
        <v/>
      </c>
      <c r="Y16" t="str">
        <f t="shared" si="0"/>
        <v>Soil contamination</v>
      </c>
      <c r="Z16" t="str">
        <f t="shared" si="0"/>
        <v/>
      </c>
      <c r="AA16" t="str">
        <f t="shared" si="0"/>
        <v/>
      </c>
      <c r="AB16" t="str">
        <f t="shared" si="0"/>
        <v/>
      </c>
      <c r="AC16" t="str">
        <f t="shared" si="0"/>
        <v/>
      </c>
      <c r="AD16" t="str">
        <f t="shared" si="2"/>
        <v>Soil contamination</v>
      </c>
    </row>
    <row r="17" spans="1:30">
      <c r="A17" s="11" t="s">
        <v>98</v>
      </c>
      <c r="J17">
        <v>1</v>
      </c>
      <c r="P17">
        <v>1</v>
      </c>
      <c r="Q17" t="str">
        <f t="shared" si="1"/>
        <v/>
      </c>
      <c r="R17" t="str">
        <f t="shared" si="0"/>
        <v/>
      </c>
      <c r="S17" t="str">
        <f t="shared" si="0"/>
        <v/>
      </c>
      <c r="T17" t="str">
        <f t="shared" si="0"/>
        <v/>
      </c>
      <c r="U17" t="str">
        <f t="shared" si="0"/>
        <v/>
      </c>
      <c r="V17" t="str">
        <f t="shared" si="0"/>
        <v/>
      </c>
      <c r="W17" t="str">
        <f t="shared" si="0"/>
        <v/>
      </c>
      <c r="X17" t="str">
        <f t="shared" si="0"/>
        <v/>
      </c>
      <c r="Y17" t="str">
        <f t="shared" si="0"/>
        <v>Soil contamination</v>
      </c>
      <c r="Z17" t="str">
        <f t="shared" si="0"/>
        <v/>
      </c>
      <c r="AA17" t="str">
        <f t="shared" si="0"/>
        <v/>
      </c>
      <c r="AB17" t="str">
        <f t="shared" si="0"/>
        <v/>
      </c>
      <c r="AC17" t="str">
        <f t="shared" si="0"/>
        <v/>
      </c>
      <c r="AD17" t="str">
        <f t="shared" si="2"/>
        <v>Soil contamination</v>
      </c>
    </row>
    <row r="18" spans="1:30">
      <c r="A18" s="11" t="s">
        <v>100</v>
      </c>
      <c r="J18">
        <v>1</v>
      </c>
      <c r="P18">
        <v>1</v>
      </c>
      <c r="Q18" t="str">
        <f t="shared" si="1"/>
        <v/>
      </c>
      <c r="R18" t="str">
        <f t="shared" si="0"/>
        <v/>
      </c>
      <c r="S18" t="str">
        <f t="shared" si="0"/>
        <v/>
      </c>
      <c r="T18" t="str">
        <f t="shared" si="0"/>
        <v/>
      </c>
      <c r="U18" t="str">
        <f t="shared" si="0"/>
        <v/>
      </c>
      <c r="V18" t="str">
        <f t="shared" si="0"/>
        <v/>
      </c>
      <c r="W18" t="str">
        <f t="shared" si="0"/>
        <v/>
      </c>
      <c r="X18" t="str">
        <f t="shared" si="0"/>
        <v/>
      </c>
      <c r="Y18" t="str">
        <f t="shared" si="0"/>
        <v>Soil contamination</v>
      </c>
      <c r="Z18" t="str">
        <f t="shared" si="0"/>
        <v/>
      </c>
      <c r="AA18" t="str">
        <f t="shared" si="0"/>
        <v/>
      </c>
      <c r="AB18" t="str">
        <f t="shared" si="0"/>
        <v/>
      </c>
      <c r="AC18" t="str">
        <f t="shared" si="0"/>
        <v/>
      </c>
      <c r="AD18" t="str">
        <f t="shared" si="2"/>
        <v>Soil contamination</v>
      </c>
    </row>
    <row r="19" spans="1:30">
      <c r="A19" s="11" t="s">
        <v>114</v>
      </c>
      <c r="L19">
        <v>1</v>
      </c>
      <c r="P19">
        <v>1</v>
      </c>
      <c r="Q19" t="str">
        <f t="shared" si="1"/>
        <v/>
      </c>
      <c r="R19" t="str">
        <f t="shared" si="0"/>
        <v/>
      </c>
      <c r="S19" t="str">
        <f t="shared" si="0"/>
        <v/>
      </c>
      <c r="T19" t="str">
        <f t="shared" si="0"/>
        <v/>
      </c>
      <c r="U19" t="str">
        <f t="shared" si="0"/>
        <v/>
      </c>
      <c r="V19" t="str">
        <f t="shared" si="0"/>
        <v/>
      </c>
      <c r="W19" t="str">
        <f t="shared" si="0"/>
        <v/>
      </c>
      <c r="X19" t="str">
        <f t="shared" si="0"/>
        <v/>
      </c>
      <c r="Y19" t="str">
        <f t="shared" si="0"/>
        <v/>
      </c>
      <c r="Z19" t="str">
        <f t="shared" si="0"/>
        <v/>
      </c>
      <c r="AA19" t="str">
        <f t="shared" si="0"/>
        <v>Soil sealing and soil removal</v>
      </c>
      <c r="AB19" t="str">
        <f t="shared" si="0"/>
        <v/>
      </c>
      <c r="AC19" t="str">
        <f t="shared" si="0"/>
        <v/>
      </c>
      <c r="AD19" t="str">
        <f t="shared" si="2"/>
        <v>Soil sealing and soil removal</v>
      </c>
    </row>
    <row r="20" spans="1:30">
      <c r="A20" s="11" t="s">
        <v>86</v>
      </c>
      <c r="F20">
        <v>1</v>
      </c>
      <c r="P20">
        <v>1</v>
      </c>
      <c r="Q20" t="str">
        <f t="shared" si="1"/>
        <v/>
      </c>
      <c r="R20" t="str">
        <f t="shared" si="0"/>
        <v/>
      </c>
      <c r="S20" t="str">
        <f t="shared" si="0"/>
        <v/>
      </c>
      <c r="T20" t="str">
        <f t="shared" si="0"/>
        <v/>
      </c>
      <c r="U20" t="str">
        <f t="shared" si="0"/>
        <v>Loss of soil biodiversity</v>
      </c>
      <c r="V20" t="str">
        <f t="shared" si="0"/>
        <v/>
      </c>
      <c r="W20" t="str">
        <f t="shared" si="0"/>
        <v/>
      </c>
      <c r="X20" t="str">
        <f t="shared" si="0"/>
        <v/>
      </c>
      <c r="Y20" t="str">
        <f t="shared" si="0"/>
        <v/>
      </c>
      <c r="Z20" t="str">
        <f t="shared" si="0"/>
        <v/>
      </c>
      <c r="AA20" t="str">
        <f t="shared" si="0"/>
        <v/>
      </c>
      <c r="AB20" t="str">
        <f t="shared" si="0"/>
        <v/>
      </c>
      <c r="AC20" t="str">
        <f t="shared" si="0"/>
        <v/>
      </c>
      <c r="AD20" t="str">
        <f t="shared" si="2"/>
        <v>Loss of soil biodiversity</v>
      </c>
    </row>
    <row r="21" spans="1:30">
      <c r="A21" s="11" t="s">
        <v>12</v>
      </c>
      <c r="I21">
        <v>1</v>
      </c>
      <c r="P21">
        <v>1</v>
      </c>
      <c r="Q21" t="str">
        <f t="shared" si="1"/>
        <v/>
      </c>
      <c r="R21" t="str">
        <f t="shared" ref="R21:R49" si="3">IF(C21&gt;=1,R$4,"")</f>
        <v/>
      </c>
      <c r="S21" t="str">
        <f t="shared" ref="S21:S49" si="4">IF(D21&gt;=1,S$4,"")</f>
        <v/>
      </c>
      <c r="T21" t="str">
        <f t="shared" ref="T21:T49" si="5">IF(E21&gt;=1,T$4,"")</f>
        <v/>
      </c>
      <c r="U21" t="str">
        <f t="shared" ref="U21:U49" si="6">IF(F21&gt;=1,U$4,"")</f>
        <v/>
      </c>
      <c r="V21" t="str">
        <f t="shared" ref="V21:V49" si="7">IF(G21&gt;=1,V$4,"")</f>
        <v/>
      </c>
      <c r="W21" t="str">
        <f t="shared" ref="W21:W49" si="8">IF(H21&gt;=1,W$4,"")</f>
        <v/>
      </c>
      <c r="X21" t="str">
        <f t="shared" ref="X21:X49" si="9">IF(I21&gt;=1,X$4,"")</f>
        <v>Salinisation</v>
      </c>
      <c r="Y21" t="str">
        <f t="shared" ref="Y21:Y49" si="10">IF(J21&gt;=1,Y$4,"")</f>
        <v/>
      </c>
      <c r="Z21" t="str">
        <f t="shared" ref="Z21:Z49" si="11">IF(K21&gt;=1,Z$4,"")</f>
        <v/>
      </c>
      <c r="AA21" t="str">
        <f t="shared" ref="AA21:AA49" si="12">IF(L21&gt;=1,AA$4,"")</f>
        <v/>
      </c>
      <c r="AB21" t="str">
        <f t="shared" ref="AB21:AB49" si="13">IF(M21&gt;=1,AB$4,"")</f>
        <v/>
      </c>
      <c r="AC21" t="str">
        <f t="shared" ref="AC21:AC49" si="14">IF(N21&gt;=1,AC$4,"")</f>
        <v/>
      </c>
      <c r="AD21" t="str">
        <f t="shared" si="2"/>
        <v>Salinisation</v>
      </c>
    </row>
    <row r="22" spans="1:30">
      <c r="A22" s="11" t="s">
        <v>47</v>
      </c>
      <c r="D22">
        <v>1</v>
      </c>
      <c r="P22">
        <v>1</v>
      </c>
      <c r="Q22" t="str">
        <f t="shared" si="1"/>
        <v/>
      </c>
      <c r="R22" t="str">
        <f t="shared" si="3"/>
        <v/>
      </c>
      <c r="S22" t="str">
        <f t="shared" si="4"/>
        <v>Excess nutrient content in soil</v>
      </c>
      <c r="T22" t="str">
        <f t="shared" si="5"/>
        <v/>
      </c>
      <c r="U22" t="str">
        <f t="shared" si="6"/>
        <v/>
      </c>
      <c r="V22" t="str">
        <f t="shared" si="7"/>
        <v/>
      </c>
      <c r="W22" t="str">
        <f t="shared" si="8"/>
        <v/>
      </c>
      <c r="X22" t="str">
        <f t="shared" si="9"/>
        <v/>
      </c>
      <c r="Y22" t="str">
        <f t="shared" si="10"/>
        <v/>
      </c>
      <c r="Z22" t="str">
        <f t="shared" si="11"/>
        <v/>
      </c>
      <c r="AA22" t="str">
        <f t="shared" si="12"/>
        <v/>
      </c>
      <c r="AB22" t="str">
        <f t="shared" si="13"/>
        <v/>
      </c>
      <c r="AC22" t="str">
        <f t="shared" si="14"/>
        <v/>
      </c>
      <c r="AD22" t="str">
        <f t="shared" si="2"/>
        <v>Excess nutrient content in soil</v>
      </c>
    </row>
    <row r="23" spans="1:30">
      <c r="A23" s="11" t="s">
        <v>111</v>
      </c>
      <c r="L23">
        <v>1</v>
      </c>
      <c r="P23">
        <v>1</v>
      </c>
      <c r="Q23" t="str">
        <f t="shared" si="1"/>
        <v/>
      </c>
      <c r="R23" t="str">
        <f t="shared" si="3"/>
        <v/>
      </c>
      <c r="S23" t="str">
        <f t="shared" si="4"/>
        <v/>
      </c>
      <c r="T23" t="str">
        <f t="shared" si="5"/>
        <v/>
      </c>
      <c r="U23" t="str">
        <f t="shared" si="6"/>
        <v/>
      </c>
      <c r="V23" t="str">
        <f t="shared" si="7"/>
        <v/>
      </c>
      <c r="W23" t="str">
        <f t="shared" si="8"/>
        <v/>
      </c>
      <c r="X23" t="str">
        <f t="shared" si="9"/>
        <v/>
      </c>
      <c r="Y23" t="str">
        <f t="shared" si="10"/>
        <v/>
      </c>
      <c r="Z23" t="str">
        <f t="shared" si="11"/>
        <v/>
      </c>
      <c r="AA23" t="str">
        <f t="shared" si="12"/>
        <v>Soil sealing and soil removal</v>
      </c>
      <c r="AB23" t="str">
        <f t="shared" si="13"/>
        <v/>
      </c>
      <c r="AC23" t="str">
        <f t="shared" si="14"/>
        <v/>
      </c>
      <c r="AD23" t="str">
        <f t="shared" si="2"/>
        <v>Soil sealing and soil removal</v>
      </c>
    </row>
    <row r="24" spans="1:30">
      <c r="A24" s="11" t="s">
        <v>112</v>
      </c>
      <c r="L24">
        <v>1</v>
      </c>
      <c r="P24">
        <v>1</v>
      </c>
      <c r="Q24" t="str">
        <f t="shared" si="1"/>
        <v/>
      </c>
      <c r="R24" t="str">
        <f t="shared" si="3"/>
        <v/>
      </c>
      <c r="S24" t="str">
        <f t="shared" si="4"/>
        <v/>
      </c>
      <c r="T24" t="str">
        <f t="shared" si="5"/>
        <v/>
      </c>
      <c r="U24" t="str">
        <f t="shared" si="6"/>
        <v/>
      </c>
      <c r="V24" t="str">
        <f t="shared" si="7"/>
        <v/>
      </c>
      <c r="W24" t="str">
        <f t="shared" si="8"/>
        <v/>
      </c>
      <c r="X24" t="str">
        <f t="shared" si="9"/>
        <v/>
      </c>
      <c r="Y24" t="str">
        <f t="shared" si="10"/>
        <v/>
      </c>
      <c r="Z24" t="str">
        <f t="shared" si="11"/>
        <v/>
      </c>
      <c r="AA24" t="str">
        <f t="shared" si="12"/>
        <v>Soil sealing and soil removal</v>
      </c>
      <c r="AB24" t="str">
        <f t="shared" si="13"/>
        <v/>
      </c>
      <c r="AC24" t="str">
        <f t="shared" si="14"/>
        <v/>
      </c>
      <c r="AD24" t="str">
        <f t="shared" si="2"/>
        <v>Soil sealing and soil removal</v>
      </c>
    </row>
    <row r="25" spans="1:30">
      <c r="A25" s="11" t="s">
        <v>113</v>
      </c>
      <c r="L25">
        <v>1</v>
      </c>
      <c r="P25">
        <v>1</v>
      </c>
      <c r="Q25" t="str">
        <f t="shared" si="1"/>
        <v/>
      </c>
      <c r="R25" t="str">
        <f t="shared" si="3"/>
        <v/>
      </c>
      <c r="S25" t="str">
        <f t="shared" si="4"/>
        <v/>
      </c>
      <c r="T25" t="str">
        <f t="shared" si="5"/>
        <v/>
      </c>
      <c r="U25" t="str">
        <f t="shared" si="6"/>
        <v/>
      </c>
      <c r="V25" t="str">
        <f t="shared" si="7"/>
        <v/>
      </c>
      <c r="W25" t="str">
        <f t="shared" si="8"/>
        <v/>
      </c>
      <c r="X25" t="str">
        <f t="shared" si="9"/>
        <v/>
      </c>
      <c r="Y25" t="str">
        <f t="shared" si="10"/>
        <v/>
      </c>
      <c r="Z25" t="str">
        <f t="shared" si="11"/>
        <v/>
      </c>
      <c r="AA25" t="str">
        <f t="shared" si="12"/>
        <v>Soil sealing and soil removal</v>
      </c>
      <c r="AB25" t="str">
        <f t="shared" si="13"/>
        <v/>
      </c>
      <c r="AC25" t="str">
        <f t="shared" si="14"/>
        <v/>
      </c>
      <c r="AD25" t="str">
        <f t="shared" si="2"/>
        <v>Soil sealing and soil removal</v>
      </c>
    </row>
    <row r="26" spans="1:30">
      <c r="A26" s="11" t="s">
        <v>109</v>
      </c>
      <c r="L26">
        <v>2</v>
      </c>
      <c r="P26">
        <v>2</v>
      </c>
      <c r="Q26" t="str">
        <f t="shared" si="1"/>
        <v/>
      </c>
      <c r="R26" t="str">
        <f t="shared" si="3"/>
        <v/>
      </c>
      <c r="S26" t="str">
        <f t="shared" si="4"/>
        <v/>
      </c>
      <c r="T26" t="str">
        <f t="shared" si="5"/>
        <v/>
      </c>
      <c r="U26" t="str">
        <f t="shared" si="6"/>
        <v/>
      </c>
      <c r="V26" t="str">
        <f t="shared" si="7"/>
        <v/>
      </c>
      <c r="W26" t="str">
        <f t="shared" si="8"/>
        <v/>
      </c>
      <c r="X26" t="str">
        <f t="shared" si="9"/>
        <v/>
      </c>
      <c r="Y26" t="str">
        <f t="shared" si="10"/>
        <v/>
      </c>
      <c r="Z26" t="str">
        <f t="shared" si="11"/>
        <v/>
      </c>
      <c r="AA26" t="str">
        <f t="shared" si="12"/>
        <v>Soil sealing and soil removal</v>
      </c>
      <c r="AB26" t="str">
        <f t="shared" si="13"/>
        <v/>
      </c>
      <c r="AC26" t="str">
        <f t="shared" si="14"/>
        <v/>
      </c>
      <c r="AD26" t="str">
        <f t="shared" si="2"/>
        <v>Soil sealing and soil removal</v>
      </c>
    </row>
    <row r="27" spans="1:30">
      <c r="A27" s="11" t="s">
        <v>87</v>
      </c>
      <c r="F27">
        <v>1</v>
      </c>
      <c r="P27">
        <v>1</v>
      </c>
      <c r="Q27" t="str">
        <f t="shared" si="1"/>
        <v/>
      </c>
      <c r="R27" t="str">
        <f t="shared" si="3"/>
        <v/>
      </c>
      <c r="S27" t="str">
        <f t="shared" si="4"/>
        <v/>
      </c>
      <c r="T27" t="str">
        <f t="shared" si="5"/>
        <v/>
      </c>
      <c r="U27" t="str">
        <f t="shared" si="6"/>
        <v>Loss of soil biodiversity</v>
      </c>
      <c r="V27" t="str">
        <f t="shared" si="7"/>
        <v/>
      </c>
      <c r="W27" t="str">
        <f t="shared" si="8"/>
        <v/>
      </c>
      <c r="X27" t="str">
        <f t="shared" si="9"/>
        <v/>
      </c>
      <c r="Y27" t="str">
        <f t="shared" si="10"/>
        <v/>
      </c>
      <c r="Z27" t="str">
        <f t="shared" si="11"/>
        <v/>
      </c>
      <c r="AA27" t="str">
        <f t="shared" si="12"/>
        <v/>
      </c>
      <c r="AB27" t="str">
        <f t="shared" si="13"/>
        <v/>
      </c>
      <c r="AC27" t="str">
        <f t="shared" si="14"/>
        <v/>
      </c>
      <c r="AD27" t="str">
        <f t="shared" si="2"/>
        <v>Loss of soil biodiversity</v>
      </c>
    </row>
    <row r="28" spans="1:30">
      <c r="A28" s="11" t="s">
        <v>88</v>
      </c>
      <c r="F28">
        <v>1</v>
      </c>
      <c r="P28">
        <v>1</v>
      </c>
      <c r="Q28" t="str">
        <f t="shared" si="1"/>
        <v/>
      </c>
      <c r="R28" t="str">
        <f t="shared" si="3"/>
        <v/>
      </c>
      <c r="S28" t="str">
        <f t="shared" si="4"/>
        <v/>
      </c>
      <c r="T28" t="str">
        <f t="shared" si="5"/>
        <v/>
      </c>
      <c r="U28" t="str">
        <f t="shared" si="6"/>
        <v>Loss of soil biodiversity</v>
      </c>
      <c r="V28" t="str">
        <f t="shared" si="7"/>
        <v/>
      </c>
      <c r="W28" t="str">
        <f t="shared" si="8"/>
        <v/>
      </c>
      <c r="X28" t="str">
        <f t="shared" si="9"/>
        <v/>
      </c>
      <c r="Y28" t="str">
        <f t="shared" si="10"/>
        <v/>
      </c>
      <c r="Z28" t="str">
        <f t="shared" si="11"/>
        <v/>
      </c>
      <c r="AA28" t="str">
        <f t="shared" si="12"/>
        <v/>
      </c>
      <c r="AB28" t="str">
        <f t="shared" si="13"/>
        <v/>
      </c>
      <c r="AC28" t="str">
        <f t="shared" si="14"/>
        <v/>
      </c>
      <c r="AD28" t="str">
        <f t="shared" si="2"/>
        <v>Loss of soil biodiversity</v>
      </c>
    </row>
    <row r="29" spans="1:30">
      <c r="A29" s="11" t="s">
        <v>94</v>
      </c>
      <c r="F29">
        <v>1</v>
      </c>
      <c r="P29">
        <v>1</v>
      </c>
      <c r="Q29" t="str">
        <f t="shared" si="1"/>
        <v/>
      </c>
      <c r="R29" t="str">
        <f t="shared" si="3"/>
        <v/>
      </c>
      <c r="S29" t="str">
        <f t="shared" si="4"/>
        <v/>
      </c>
      <c r="T29" t="str">
        <f t="shared" si="5"/>
        <v/>
      </c>
      <c r="U29" t="str">
        <f t="shared" si="6"/>
        <v>Loss of soil biodiversity</v>
      </c>
      <c r="V29" t="str">
        <f t="shared" si="7"/>
        <v/>
      </c>
      <c r="W29" t="str">
        <f t="shared" si="8"/>
        <v/>
      </c>
      <c r="X29" t="str">
        <f t="shared" si="9"/>
        <v/>
      </c>
      <c r="Y29" t="str">
        <f t="shared" si="10"/>
        <v/>
      </c>
      <c r="Z29" t="str">
        <f t="shared" si="11"/>
        <v/>
      </c>
      <c r="AA29" t="str">
        <f t="shared" si="12"/>
        <v/>
      </c>
      <c r="AB29" t="str">
        <f t="shared" si="13"/>
        <v/>
      </c>
      <c r="AC29" t="str">
        <f t="shared" si="14"/>
        <v/>
      </c>
      <c r="AD29" t="str">
        <f t="shared" si="2"/>
        <v>Loss of soil biodiversity</v>
      </c>
    </row>
    <row r="30" spans="1:30">
      <c r="A30" s="11" t="s">
        <v>37</v>
      </c>
      <c r="M30">
        <v>1</v>
      </c>
      <c r="P30">
        <v>1</v>
      </c>
      <c r="Q30" t="str">
        <f t="shared" si="1"/>
        <v/>
      </c>
      <c r="R30" t="str">
        <f t="shared" si="3"/>
        <v/>
      </c>
      <c r="S30" t="str">
        <f t="shared" si="4"/>
        <v/>
      </c>
      <c r="T30" t="str">
        <f t="shared" si="5"/>
        <v/>
      </c>
      <c r="U30" t="str">
        <f t="shared" si="6"/>
        <v/>
      </c>
      <c r="V30" t="str">
        <f t="shared" si="7"/>
        <v/>
      </c>
      <c r="W30" t="str">
        <f t="shared" si="8"/>
        <v/>
      </c>
      <c r="X30" t="str">
        <f t="shared" si="9"/>
        <v/>
      </c>
      <c r="Y30" t="str">
        <f t="shared" si="10"/>
        <v/>
      </c>
      <c r="Z30" t="str">
        <f t="shared" si="11"/>
        <v/>
      </c>
      <c r="AA30" t="str">
        <f t="shared" si="12"/>
        <v/>
      </c>
      <c r="AB30" t="str">
        <f t="shared" si="13"/>
        <v>Subsoil compaction</v>
      </c>
      <c r="AC30" t="str">
        <f t="shared" si="14"/>
        <v/>
      </c>
      <c r="AD30" t="str">
        <f t="shared" si="2"/>
        <v>Subsoil compaction</v>
      </c>
    </row>
    <row r="31" spans="1:30">
      <c r="A31" s="11" t="s">
        <v>84</v>
      </c>
      <c r="N31">
        <v>1</v>
      </c>
      <c r="P31">
        <v>1</v>
      </c>
      <c r="Q31" t="str">
        <f t="shared" si="1"/>
        <v/>
      </c>
      <c r="R31" t="str">
        <f t="shared" si="3"/>
        <v/>
      </c>
      <c r="S31" t="str">
        <f t="shared" si="4"/>
        <v/>
      </c>
      <c r="T31" t="str">
        <f t="shared" si="5"/>
        <v/>
      </c>
      <c r="U31" t="str">
        <f t="shared" si="6"/>
        <v/>
      </c>
      <c r="V31" t="str">
        <f t="shared" si="7"/>
        <v/>
      </c>
      <c r="W31" t="str">
        <f t="shared" si="8"/>
        <v/>
      </c>
      <c r="X31" t="str">
        <f t="shared" si="9"/>
        <v/>
      </c>
      <c r="Y31" t="str">
        <f t="shared" si="10"/>
        <v/>
      </c>
      <c r="Z31" t="str">
        <f t="shared" si="11"/>
        <v/>
      </c>
      <c r="AA31" t="str">
        <f t="shared" si="12"/>
        <v/>
      </c>
      <c r="AB31" t="str">
        <f t="shared" si="13"/>
        <v/>
      </c>
      <c r="AC31" t="str">
        <f t="shared" si="14"/>
        <v>Topsoil compaction</v>
      </c>
      <c r="AD31" t="str">
        <f t="shared" si="2"/>
        <v>Topsoil compaction</v>
      </c>
    </row>
    <row r="32" spans="1:30">
      <c r="A32" s="11" t="s">
        <v>17</v>
      </c>
      <c r="G32">
        <v>2</v>
      </c>
      <c r="P32">
        <v>2</v>
      </c>
      <c r="Q32" t="str">
        <f t="shared" si="1"/>
        <v/>
      </c>
      <c r="R32" t="str">
        <f t="shared" si="3"/>
        <v/>
      </c>
      <c r="S32" t="str">
        <f t="shared" si="4"/>
        <v/>
      </c>
      <c r="T32" t="str">
        <f t="shared" si="5"/>
        <v/>
      </c>
      <c r="U32" t="str">
        <f t="shared" si="6"/>
        <v/>
      </c>
      <c r="V32" t="str">
        <f t="shared" si="7"/>
        <v>Loss of Soil Organic Carbon (SOC)</v>
      </c>
      <c r="W32" t="str">
        <f t="shared" si="8"/>
        <v/>
      </c>
      <c r="X32" t="str">
        <f t="shared" si="9"/>
        <v/>
      </c>
      <c r="Y32" t="str">
        <f t="shared" si="10"/>
        <v/>
      </c>
      <c r="Z32" t="str">
        <f t="shared" si="11"/>
        <v/>
      </c>
      <c r="AA32" t="str">
        <f t="shared" si="12"/>
        <v/>
      </c>
      <c r="AB32" t="str">
        <f t="shared" si="13"/>
        <v/>
      </c>
      <c r="AC32" t="str">
        <f t="shared" si="14"/>
        <v/>
      </c>
      <c r="AD32" t="str">
        <f t="shared" si="2"/>
        <v>Loss of Soil Organic Carbon (SOC)</v>
      </c>
    </row>
    <row r="33" spans="1:30">
      <c r="A33" s="11" t="s">
        <v>72</v>
      </c>
      <c r="E33">
        <v>1</v>
      </c>
      <c r="P33">
        <v>1</v>
      </c>
      <c r="Q33" t="str">
        <f t="shared" si="1"/>
        <v/>
      </c>
      <c r="R33" t="str">
        <f t="shared" si="3"/>
        <v/>
      </c>
      <c r="S33" t="str">
        <f t="shared" si="4"/>
        <v/>
      </c>
      <c r="T33" t="str">
        <f t="shared" si="5"/>
        <v>Loss of SOC</v>
      </c>
      <c r="U33" t="str">
        <f t="shared" si="6"/>
        <v/>
      </c>
      <c r="V33" t="str">
        <f t="shared" si="7"/>
        <v/>
      </c>
      <c r="W33" t="str">
        <f t="shared" si="8"/>
        <v/>
      </c>
      <c r="X33" t="str">
        <f t="shared" si="9"/>
        <v/>
      </c>
      <c r="Y33" t="str">
        <f t="shared" si="10"/>
        <v/>
      </c>
      <c r="Z33" t="str">
        <f t="shared" si="11"/>
        <v/>
      </c>
      <c r="AA33" t="str">
        <f t="shared" si="12"/>
        <v/>
      </c>
      <c r="AB33" t="str">
        <f t="shared" si="13"/>
        <v/>
      </c>
      <c r="AC33" t="str">
        <f t="shared" si="14"/>
        <v/>
      </c>
      <c r="AD33" t="str">
        <f t="shared" si="2"/>
        <v>Loss of SOC</v>
      </c>
    </row>
    <row r="34" spans="1:30">
      <c r="A34" s="11" t="s">
        <v>68</v>
      </c>
      <c r="E34">
        <v>1</v>
      </c>
      <c r="P34">
        <v>1</v>
      </c>
      <c r="Q34" t="str">
        <f>IF(B34&gt;=1,Q$4,"")</f>
        <v/>
      </c>
      <c r="R34" t="str">
        <f t="shared" si="3"/>
        <v/>
      </c>
      <c r="S34" t="str">
        <f t="shared" si="4"/>
        <v/>
      </c>
      <c r="T34" t="str">
        <f t="shared" si="5"/>
        <v>Loss of SOC</v>
      </c>
      <c r="U34" t="str">
        <f t="shared" si="6"/>
        <v/>
      </c>
      <c r="V34" t="str">
        <f t="shared" si="7"/>
        <v/>
      </c>
      <c r="W34" t="str">
        <f t="shared" si="8"/>
        <v/>
      </c>
      <c r="X34" t="str">
        <f t="shared" si="9"/>
        <v/>
      </c>
      <c r="Y34" t="str">
        <f t="shared" si="10"/>
        <v/>
      </c>
      <c r="Z34" t="str">
        <f t="shared" si="11"/>
        <v/>
      </c>
      <c r="AA34" t="str">
        <f t="shared" si="12"/>
        <v/>
      </c>
      <c r="AB34" t="str">
        <f t="shared" si="13"/>
        <v/>
      </c>
      <c r="AC34" t="str">
        <f t="shared" si="14"/>
        <v/>
      </c>
      <c r="AD34" t="str">
        <f t="shared" si="2"/>
        <v>Loss of SOC</v>
      </c>
    </row>
    <row r="35" spans="1:30">
      <c r="A35" s="11" t="s">
        <v>76</v>
      </c>
      <c r="D35">
        <v>1</v>
      </c>
      <c r="P35">
        <v>1</v>
      </c>
      <c r="Q35" t="str">
        <f t="shared" si="1"/>
        <v/>
      </c>
      <c r="R35" t="str">
        <f t="shared" si="3"/>
        <v/>
      </c>
      <c r="S35" t="str">
        <f t="shared" si="4"/>
        <v>Excess nutrient content in soil</v>
      </c>
      <c r="T35" t="str">
        <f t="shared" si="5"/>
        <v/>
      </c>
      <c r="U35" t="str">
        <f t="shared" si="6"/>
        <v/>
      </c>
      <c r="V35" t="str">
        <f t="shared" si="7"/>
        <v/>
      </c>
      <c r="W35" t="str">
        <f t="shared" si="8"/>
        <v/>
      </c>
      <c r="X35" t="str">
        <f t="shared" si="9"/>
        <v/>
      </c>
      <c r="Y35" t="str">
        <f t="shared" si="10"/>
        <v/>
      </c>
      <c r="Z35" t="str">
        <f t="shared" si="11"/>
        <v/>
      </c>
      <c r="AA35" t="str">
        <f t="shared" si="12"/>
        <v/>
      </c>
      <c r="AB35" t="str">
        <f t="shared" si="13"/>
        <v/>
      </c>
      <c r="AC35" t="str">
        <f t="shared" si="14"/>
        <v/>
      </c>
      <c r="AD35" t="str">
        <f t="shared" si="2"/>
        <v>Excess nutrient content in soil</v>
      </c>
    </row>
    <row r="36" spans="1:30">
      <c r="A36" s="11" t="s">
        <v>78</v>
      </c>
      <c r="B36">
        <v>1</v>
      </c>
      <c r="P36">
        <v>1</v>
      </c>
      <c r="Q36" t="str">
        <f t="shared" si="1"/>
        <v>Acidification</v>
      </c>
      <c r="R36" t="str">
        <f t="shared" si="3"/>
        <v/>
      </c>
      <c r="S36" t="str">
        <f t="shared" si="4"/>
        <v/>
      </c>
      <c r="T36" t="str">
        <f t="shared" si="5"/>
        <v/>
      </c>
      <c r="U36" t="str">
        <f t="shared" si="6"/>
        <v/>
      </c>
      <c r="V36" t="str">
        <f t="shared" si="7"/>
        <v/>
      </c>
      <c r="W36" t="str">
        <f t="shared" si="8"/>
        <v/>
      </c>
      <c r="X36" t="str">
        <f t="shared" si="9"/>
        <v/>
      </c>
      <c r="Y36" t="str">
        <f t="shared" si="10"/>
        <v/>
      </c>
      <c r="Z36" t="str">
        <f t="shared" si="11"/>
        <v/>
      </c>
      <c r="AA36" t="str">
        <f t="shared" si="12"/>
        <v/>
      </c>
      <c r="AB36" t="str">
        <f t="shared" si="13"/>
        <v/>
      </c>
      <c r="AC36" t="str">
        <f t="shared" si="14"/>
        <v/>
      </c>
      <c r="AD36" t="str">
        <f t="shared" si="2"/>
        <v>Acidification</v>
      </c>
    </row>
    <row r="37" spans="1:30">
      <c r="A37" s="11" t="s">
        <v>110</v>
      </c>
      <c r="L37">
        <v>1</v>
      </c>
      <c r="P37">
        <v>1</v>
      </c>
      <c r="Q37" t="str">
        <f t="shared" si="1"/>
        <v/>
      </c>
      <c r="R37" t="str">
        <f t="shared" si="3"/>
        <v/>
      </c>
      <c r="S37" t="str">
        <f t="shared" si="4"/>
        <v/>
      </c>
      <c r="T37" t="str">
        <f t="shared" si="5"/>
        <v/>
      </c>
      <c r="U37" t="str">
        <f t="shared" si="6"/>
        <v/>
      </c>
      <c r="V37" t="str">
        <f t="shared" si="7"/>
        <v/>
      </c>
      <c r="W37" t="str">
        <f t="shared" si="8"/>
        <v/>
      </c>
      <c r="X37" t="str">
        <f t="shared" si="9"/>
        <v/>
      </c>
      <c r="Y37" t="str">
        <f t="shared" si="10"/>
        <v/>
      </c>
      <c r="Z37" t="str">
        <f t="shared" si="11"/>
        <v/>
      </c>
      <c r="AA37" t="str">
        <f t="shared" si="12"/>
        <v>Soil sealing and soil removal</v>
      </c>
      <c r="AB37" t="str">
        <f t="shared" si="13"/>
        <v/>
      </c>
      <c r="AC37" t="str">
        <f t="shared" si="14"/>
        <v/>
      </c>
      <c r="AD37" t="str">
        <f t="shared" si="2"/>
        <v>Soil sealing and soil removal</v>
      </c>
    </row>
    <row r="38" spans="1:30">
      <c r="A38" s="11" t="s">
        <v>95</v>
      </c>
      <c r="F38">
        <v>1</v>
      </c>
      <c r="P38">
        <v>1</v>
      </c>
      <c r="Q38" t="str">
        <f t="shared" si="1"/>
        <v/>
      </c>
      <c r="R38" t="str">
        <f t="shared" si="3"/>
        <v/>
      </c>
      <c r="S38" t="str">
        <f t="shared" si="4"/>
        <v/>
      </c>
      <c r="T38" t="str">
        <f t="shared" si="5"/>
        <v/>
      </c>
      <c r="U38" t="str">
        <f t="shared" si="6"/>
        <v>Loss of soil biodiversity</v>
      </c>
      <c r="V38" t="str">
        <f t="shared" si="7"/>
        <v/>
      </c>
      <c r="W38" t="str">
        <f t="shared" si="8"/>
        <v/>
      </c>
      <c r="X38" t="str">
        <f t="shared" si="9"/>
        <v/>
      </c>
      <c r="Y38" t="str">
        <f t="shared" si="10"/>
        <v/>
      </c>
      <c r="Z38" t="str">
        <f t="shared" si="11"/>
        <v/>
      </c>
      <c r="AA38" t="str">
        <f t="shared" si="12"/>
        <v/>
      </c>
      <c r="AB38" t="str">
        <f t="shared" si="13"/>
        <v/>
      </c>
      <c r="AC38" t="str">
        <f t="shared" si="14"/>
        <v/>
      </c>
      <c r="AD38" t="str">
        <f t="shared" si="2"/>
        <v>Loss of soil biodiversity</v>
      </c>
    </row>
    <row r="39" spans="1:30">
      <c r="A39" s="11" t="s">
        <v>93</v>
      </c>
      <c r="F39">
        <v>1</v>
      </c>
      <c r="P39">
        <v>1</v>
      </c>
      <c r="Q39" t="str">
        <f t="shared" si="1"/>
        <v/>
      </c>
      <c r="R39" t="str">
        <f t="shared" si="3"/>
        <v/>
      </c>
      <c r="S39" t="str">
        <f t="shared" si="4"/>
        <v/>
      </c>
      <c r="T39" t="str">
        <f t="shared" si="5"/>
        <v/>
      </c>
      <c r="U39" t="str">
        <f t="shared" si="6"/>
        <v>Loss of soil biodiversity</v>
      </c>
      <c r="V39" t="str">
        <f t="shared" si="7"/>
        <v/>
      </c>
      <c r="W39" t="str">
        <f t="shared" si="8"/>
        <v/>
      </c>
      <c r="X39" t="str">
        <f t="shared" si="9"/>
        <v/>
      </c>
      <c r="Y39" t="str">
        <f t="shared" si="10"/>
        <v/>
      </c>
      <c r="Z39" t="str">
        <f t="shared" si="11"/>
        <v/>
      </c>
      <c r="AA39" t="str">
        <f t="shared" si="12"/>
        <v/>
      </c>
      <c r="AB39" t="str">
        <f t="shared" si="13"/>
        <v/>
      </c>
      <c r="AC39" t="str">
        <f t="shared" si="14"/>
        <v/>
      </c>
      <c r="AD39" t="str">
        <f t="shared" si="2"/>
        <v>Loss of soil biodiversity</v>
      </c>
    </row>
    <row r="40" spans="1:30">
      <c r="A40" s="11" t="s">
        <v>52</v>
      </c>
      <c r="K40">
        <v>1</v>
      </c>
      <c r="P40">
        <v>1</v>
      </c>
      <c r="Q40" t="str">
        <f t="shared" si="1"/>
        <v/>
      </c>
      <c r="R40" t="str">
        <f t="shared" si="3"/>
        <v/>
      </c>
      <c r="S40" t="str">
        <f t="shared" si="4"/>
        <v/>
      </c>
      <c r="T40" t="str">
        <f t="shared" si="5"/>
        <v/>
      </c>
      <c r="U40" t="str">
        <f t="shared" si="6"/>
        <v/>
      </c>
      <c r="V40" t="str">
        <f t="shared" si="7"/>
        <v/>
      </c>
      <c r="W40" t="str">
        <f t="shared" si="8"/>
        <v/>
      </c>
      <c r="X40" t="str">
        <f t="shared" si="9"/>
        <v/>
      </c>
      <c r="Y40" t="str">
        <f t="shared" si="10"/>
        <v/>
      </c>
      <c r="Z40" t="str">
        <f t="shared" si="11"/>
        <v>Soil erosion</v>
      </c>
      <c r="AA40" t="str">
        <f t="shared" si="12"/>
        <v/>
      </c>
      <c r="AB40" t="str">
        <f t="shared" si="13"/>
        <v/>
      </c>
      <c r="AC40" t="str">
        <f t="shared" si="14"/>
        <v/>
      </c>
      <c r="AD40" t="str">
        <f t="shared" si="2"/>
        <v>Soil erosion</v>
      </c>
    </row>
    <row r="41" spans="1:30">
      <c r="A41" s="11" t="s">
        <v>103</v>
      </c>
      <c r="C41">
        <v>1</v>
      </c>
      <c r="P41">
        <v>1</v>
      </c>
      <c r="Q41" t="str">
        <f t="shared" si="1"/>
        <v/>
      </c>
      <c r="R41" t="str">
        <f t="shared" si="3"/>
        <v>Aspect of soil degradation</v>
      </c>
      <c r="S41" t="str">
        <f t="shared" si="4"/>
        <v/>
      </c>
      <c r="T41" t="str">
        <f t="shared" si="5"/>
        <v/>
      </c>
      <c r="U41" t="str">
        <f t="shared" si="6"/>
        <v/>
      </c>
      <c r="V41" t="str">
        <f t="shared" si="7"/>
        <v/>
      </c>
      <c r="W41" t="str">
        <f t="shared" si="8"/>
        <v/>
      </c>
      <c r="X41" t="str">
        <f t="shared" si="9"/>
        <v/>
      </c>
      <c r="Y41" t="str">
        <f t="shared" si="10"/>
        <v/>
      </c>
      <c r="Z41" t="str">
        <f t="shared" si="11"/>
        <v/>
      </c>
      <c r="AA41" t="str">
        <f t="shared" si="12"/>
        <v/>
      </c>
      <c r="AB41" t="str">
        <f t="shared" si="13"/>
        <v/>
      </c>
      <c r="AC41" t="str">
        <f t="shared" si="14"/>
        <v/>
      </c>
      <c r="AD41" t="str">
        <f t="shared" si="2"/>
        <v>Aspect of soil degradation</v>
      </c>
    </row>
    <row r="42" spans="1:30">
      <c r="A42" s="11" t="s">
        <v>107</v>
      </c>
      <c r="L42">
        <v>2</v>
      </c>
      <c r="P42">
        <v>2</v>
      </c>
      <c r="Q42" t="str">
        <f t="shared" si="1"/>
        <v/>
      </c>
      <c r="R42" t="str">
        <f t="shared" si="3"/>
        <v/>
      </c>
      <c r="S42" t="str">
        <f t="shared" si="4"/>
        <v/>
      </c>
      <c r="T42" t="str">
        <f t="shared" si="5"/>
        <v/>
      </c>
      <c r="U42" t="str">
        <f t="shared" si="6"/>
        <v/>
      </c>
      <c r="V42" t="str">
        <f t="shared" si="7"/>
        <v/>
      </c>
      <c r="W42" t="str">
        <f t="shared" si="8"/>
        <v/>
      </c>
      <c r="X42" t="str">
        <f t="shared" si="9"/>
        <v/>
      </c>
      <c r="Y42" t="str">
        <f t="shared" si="10"/>
        <v/>
      </c>
      <c r="Z42" t="str">
        <f t="shared" si="11"/>
        <v/>
      </c>
      <c r="AA42" t="str">
        <f t="shared" si="12"/>
        <v>Soil sealing and soil removal</v>
      </c>
      <c r="AB42" t="str">
        <f t="shared" si="13"/>
        <v/>
      </c>
      <c r="AC42" t="str">
        <f t="shared" si="14"/>
        <v/>
      </c>
      <c r="AD42" t="str">
        <f t="shared" si="2"/>
        <v>Soil sealing and soil removal</v>
      </c>
    </row>
    <row r="43" spans="1:30">
      <c r="A43" s="11" t="s">
        <v>102</v>
      </c>
      <c r="C43">
        <v>1</v>
      </c>
      <c r="P43">
        <v>1</v>
      </c>
      <c r="Q43" t="str">
        <f t="shared" si="1"/>
        <v/>
      </c>
      <c r="R43" t="str">
        <f t="shared" si="3"/>
        <v>Aspect of soil degradation</v>
      </c>
      <c r="S43" t="str">
        <f t="shared" si="4"/>
        <v/>
      </c>
      <c r="T43" t="str">
        <f t="shared" si="5"/>
        <v/>
      </c>
      <c r="U43" t="str">
        <f t="shared" si="6"/>
        <v/>
      </c>
      <c r="V43" t="str">
        <f t="shared" si="7"/>
        <v/>
      </c>
      <c r="W43" t="str">
        <f t="shared" si="8"/>
        <v/>
      </c>
      <c r="X43" t="str">
        <f t="shared" si="9"/>
        <v/>
      </c>
      <c r="Y43" t="str">
        <f t="shared" si="10"/>
        <v/>
      </c>
      <c r="Z43" t="str">
        <f t="shared" si="11"/>
        <v/>
      </c>
      <c r="AA43" t="str">
        <f t="shared" si="12"/>
        <v/>
      </c>
      <c r="AB43" t="str">
        <f t="shared" si="13"/>
        <v/>
      </c>
      <c r="AC43" t="str">
        <f t="shared" si="14"/>
        <v/>
      </c>
      <c r="AD43" t="str">
        <f t="shared" si="2"/>
        <v>Aspect of soil degradation</v>
      </c>
    </row>
    <row r="44" spans="1:30">
      <c r="A44" s="11" t="s">
        <v>74</v>
      </c>
      <c r="D44">
        <v>1</v>
      </c>
      <c r="P44">
        <v>1</v>
      </c>
      <c r="Q44" t="str">
        <f t="shared" si="1"/>
        <v/>
      </c>
      <c r="R44" t="str">
        <f t="shared" si="3"/>
        <v/>
      </c>
      <c r="S44" t="str">
        <f t="shared" si="4"/>
        <v>Excess nutrient content in soil</v>
      </c>
      <c r="T44" t="str">
        <f t="shared" si="5"/>
        <v/>
      </c>
      <c r="U44" t="str">
        <f t="shared" si="6"/>
        <v/>
      </c>
      <c r="V44" t="str">
        <f t="shared" si="7"/>
        <v/>
      </c>
      <c r="W44" t="str">
        <f t="shared" si="8"/>
        <v/>
      </c>
      <c r="X44" t="str">
        <f t="shared" si="9"/>
        <v/>
      </c>
      <c r="Y44" t="str">
        <f t="shared" si="10"/>
        <v/>
      </c>
      <c r="Z44" t="str">
        <f t="shared" si="11"/>
        <v/>
      </c>
      <c r="AA44" t="str">
        <f t="shared" si="12"/>
        <v/>
      </c>
      <c r="AB44" t="str">
        <f t="shared" si="13"/>
        <v/>
      </c>
      <c r="AC44" t="str">
        <f t="shared" si="14"/>
        <v/>
      </c>
      <c r="AD44" t="str">
        <f t="shared" si="2"/>
        <v>Excess nutrient content in soil</v>
      </c>
    </row>
    <row r="45" spans="1:30">
      <c r="A45" s="11" t="s">
        <v>105</v>
      </c>
      <c r="L45">
        <v>2</v>
      </c>
      <c r="P45">
        <v>2</v>
      </c>
      <c r="Q45" t="str">
        <f t="shared" si="1"/>
        <v/>
      </c>
      <c r="R45" t="str">
        <f t="shared" si="3"/>
        <v/>
      </c>
      <c r="S45" t="str">
        <f t="shared" si="4"/>
        <v/>
      </c>
      <c r="T45" t="str">
        <f t="shared" si="5"/>
        <v/>
      </c>
      <c r="U45" t="str">
        <f t="shared" si="6"/>
        <v/>
      </c>
      <c r="V45" t="str">
        <f t="shared" si="7"/>
        <v/>
      </c>
      <c r="W45" t="str">
        <f t="shared" si="8"/>
        <v/>
      </c>
      <c r="X45" t="str">
        <f t="shared" si="9"/>
        <v/>
      </c>
      <c r="Y45" t="str">
        <f t="shared" si="10"/>
        <v/>
      </c>
      <c r="Z45" t="str">
        <f t="shared" si="11"/>
        <v/>
      </c>
      <c r="AA45" t="str">
        <f t="shared" si="12"/>
        <v>Soil sealing and soil removal</v>
      </c>
      <c r="AB45" t="str">
        <f t="shared" si="13"/>
        <v/>
      </c>
      <c r="AC45" t="str">
        <f t="shared" si="14"/>
        <v/>
      </c>
      <c r="AD45" t="str">
        <f t="shared" si="2"/>
        <v>Soil sealing and soil removal</v>
      </c>
    </row>
    <row r="46" spans="1:30">
      <c r="A46" s="11" t="s">
        <v>108</v>
      </c>
      <c r="L46">
        <v>2</v>
      </c>
      <c r="P46">
        <v>2</v>
      </c>
      <c r="Q46" t="str">
        <f t="shared" si="1"/>
        <v/>
      </c>
      <c r="R46" t="str">
        <f t="shared" si="3"/>
        <v/>
      </c>
      <c r="S46" t="str">
        <f t="shared" si="4"/>
        <v/>
      </c>
      <c r="T46" t="str">
        <f t="shared" si="5"/>
        <v/>
      </c>
      <c r="U46" t="str">
        <f t="shared" si="6"/>
        <v/>
      </c>
      <c r="V46" t="str">
        <f t="shared" si="7"/>
        <v/>
      </c>
      <c r="W46" t="str">
        <f t="shared" si="8"/>
        <v/>
      </c>
      <c r="X46" t="str">
        <f t="shared" si="9"/>
        <v/>
      </c>
      <c r="Y46" t="str">
        <f t="shared" si="10"/>
        <v/>
      </c>
      <c r="Z46" t="str">
        <f t="shared" si="11"/>
        <v/>
      </c>
      <c r="AA46" t="str">
        <f t="shared" si="12"/>
        <v>Soil sealing and soil removal</v>
      </c>
      <c r="AB46" t="str">
        <f t="shared" si="13"/>
        <v/>
      </c>
      <c r="AC46" t="str">
        <f t="shared" si="14"/>
        <v/>
      </c>
      <c r="AD46" t="str">
        <f t="shared" si="2"/>
        <v>Soil sealing and soil removal</v>
      </c>
    </row>
    <row r="47" spans="1:30">
      <c r="A47" s="11" t="s">
        <v>66</v>
      </c>
      <c r="H47">
        <v>1</v>
      </c>
      <c r="P47">
        <v>1</v>
      </c>
      <c r="Q47" t="str">
        <f t="shared" si="1"/>
        <v/>
      </c>
      <c r="R47" t="str">
        <f t="shared" si="3"/>
        <v/>
      </c>
      <c r="S47" t="str">
        <f t="shared" si="4"/>
        <v/>
      </c>
      <c r="T47" t="str">
        <f t="shared" si="5"/>
        <v/>
      </c>
      <c r="U47" t="str">
        <f t="shared" si="6"/>
        <v/>
      </c>
      <c r="V47" t="str">
        <f t="shared" si="7"/>
        <v/>
      </c>
      <c r="W47" t="str">
        <f t="shared" si="8"/>
        <v>Reduction of soil water retention and infiltration</v>
      </c>
      <c r="X47" t="str">
        <f t="shared" si="9"/>
        <v/>
      </c>
      <c r="Y47" t="str">
        <f t="shared" si="10"/>
        <v/>
      </c>
      <c r="Z47" t="str">
        <f t="shared" si="11"/>
        <v/>
      </c>
      <c r="AA47" t="str">
        <f t="shared" si="12"/>
        <v/>
      </c>
      <c r="AB47" t="str">
        <f t="shared" si="13"/>
        <v/>
      </c>
      <c r="AC47" t="str">
        <f t="shared" si="14"/>
        <v/>
      </c>
      <c r="AD47" t="str">
        <f t="shared" si="2"/>
        <v>Reduction of soil water retention and infiltration</v>
      </c>
    </row>
    <row r="48" spans="1:30">
      <c r="A48" s="11" t="s">
        <v>65</v>
      </c>
      <c r="H48">
        <v>1</v>
      </c>
      <c r="P48">
        <v>1</v>
      </c>
      <c r="Q48" t="str">
        <f t="shared" si="1"/>
        <v/>
      </c>
      <c r="R48" t="str">
        <f t="shared" si="3"/>
        <v/>
      </c>
      <c r="S48" t="str">
        <f t="shared" si="4"/>
        <v/>
      </c>
      <c r="T48" t="str">
        <f t="shared" si="5"/>
        <v/>
      </c>
      <c r="U48" t="str">
        <f t="shared" si="6"/>
        <v/>
      </c>
      <c r="V48" t="str">
        <f t="shared" si="7"/>
        <v/>
      </c>
      <c r="W48" t="str">
        <f t="shared" si="8"/>
        <v>Reduction of soil water retention and infiltration</v>
      </c>
      <c r="X48" t="str">
        <f t="shared" si="9"/>
        <v/>
      </c>
      <c r="Y48" t="str">
        <f t="shared" si="10"/>
        <v/>
      </c>
      <c r="Z48" t="str">
        <f t="shared" si="11"/>
        <v/>
      </c>
      <c r="AA48" t="str">
        <f t="shared" si="12"/>
        <v/>
      </c>
      <c r="AB48" t="str">
        <f t="shared" si="13"/>
        <v/>
      </c>
      <c r="AC48" t="str">
        <f t="shared" si="14"/>
        <v/>
      </c>
      <c r="AD48" t="str">
        <f t="shared" si="2"/>
        <v>Reduction of soil water retention and infiltration</v>
      </c>
    </row>
    <row r="49" spans="1:30">
      <c r="A49" s="11" t="s">
        <v>61</v>
      </c>
      <c r="H49">
        <v>1</v>
      </c>
      <c r="P49">
        <v>1</v>
      </c>
      <c r="Q49" t="str">
        <f t="shared" si="1"/>
        <v/>
      </c>
      <c r="R49" t="str">
        <f t="shared" si="3"/>
        <v/>
      </c>
      <c r="S49" t="str">
        <f t="shared" si="4"/>
        <v/>
      </c>
      <c r="T49" t="str">
        <f t="shared" si="5"/>
        <v/>
      </c>
      <c r="U49" t="str">
        <f t="shared" si="6"/>
        <v/>
      </c>
      <c r="V49" t="str">
        <f t="shared" si="7"/>
        <v/>
      </c>
      <c r="W49" t="str">
        <f t="shared" si="8"/>
        <v>Reduction of soil water retention and infiltration</v>
      </c>
      <c r="X49" t="str">
        <f t="shared" si="9"/>
        <v/>
      </c>
      <c r="Y49" t="str">
        <f t="shared" si="10"/>
        <v/>
      </c>
      <c r="Z49" t="str">
        <f t="shared" si="11"/>
        <v/>
      </c>
      <c r="AA49" t="str">
        <f t="shared" si="12"/>
        <v/>
      </c>
      <c r="AB49" t="str">
        <f t="shared" si="13"/>
        <v/>
      </c>
      <c r="AC49" t="str">
        <f t="shared" si="14"/>
        <v/>
      </c>
      <c r="AD49" t="str">
        <f t="shared" si="2"/>
        <v>Reduction of soil water retention and infiltration</v>
      </c>
    </row>
    <row r="50" spans="1:30">
      <c r="A50" s="11" t="s">
        <v>116</v>
      </c>
      <c r="R50" t="str">
        <f t="shared" ref="R50" si="15">IF(C50=1,R$4,"")</f>
        <v/>
      </c>
      <c r="S50" t="str">
        <f t="shared" ref="S50" si="16">IF(D50=1,S$4,"")</f>
        <v/>
      </c>
      <c r="T50" t="str">
        <f t="shared" ref="T50" si="17">IF(E50=1,T$4,"")</f>
        <v/>
      </c>
      <c r="U50" t="str">
        <f t="shared" ref="U50" si="18">IF(F50=1,U$4,"")</f>
        <v/>
      </c>
      <c r="V50" t="str">
        <f t="shared" ref="V50" si="19">IF(G50=1,V$4,"")</f>
        <v/>
      </c>
      <c r="W50" t="str">
        <f t="shared" ref="W50" si="20">IF(H50=1,W$4,"")</f>
        <v/>
      </c>
      <c r="X50" t="str">
        <f t="shared" ref="X50" si="21">IF(I50=1,X$4,"")</f>
        <v/>
      </c>
      <c r="Y50" t="str">
        <f t="shared" ref="Y50" si="22">IF(J50=1,Y$4,"")</f>
        <v/>
      </c>
      <c r="Z50" t="str">
        <f t="shared" ref="Z50" si="23">IF(K50=1,Z$4,"")</f>
        <v/>
      </c>
      <c r="AA50" t="str">
        <f t="shared" ref="AA50" si="24">IF(L50=1,AA$4,"")</f>
        <v/>
      </c>
      <c r="AB50" t="str">
        <f t="shared" ref="AB50" si="25">IF(M50=1,AB$4,"")</f>
        <v/>
      </c>
      <c r="AC50" t="str">
        <f t="shared" ref="AC50" si="26">IF(N50=1,AC$4,"")</f>
        <v/>
      </c>
      <c r="AD50" t="str">
        <f t="shared" si="2"/>
        <v/>
      </c>
    </row>
    <row r="51" spans="1:30">
      <c r="A51" s="11" t="s">
        <v>117</v>
      </c>
      <c r="B51">
        <v>2</v>
      </c>
      <c r="C51">
        <v>2</v>
      </c>
      <c r="D51">
        <v>3</v>
      </c>
      <c r="E51">
        <v>2</v>
      </c>
      <c r="F51">
        <v>10</v>
      </c>
      <c r="G51">
        <v>2</v>
      </c>
      <c r="H51">
        <v>3</v>
      </c>
      <c r="I51">
        <v>1</v>
      </c>
      <c r="J51">
        <v>5</v>
      </c>
      <c r="K51">
        <v>1</v>
      </c>
      <c r="L51">
        <v>13</v>
      </c>
      <c r="M51">
        <v>7</v>
      </c>
      <c r="N51">
        <v>3</v>
      </c>
      <c r="P51">
        <v>54</v>
      </c>
      <c r="AD51" t="str">
        <f t="shared" si="2"/>
        <v/>
      </c>
    </row>
    <row r="52" spans="1:30">
      <c r="AD52" t="str">
        <f t="shared" si="2"/>
        <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093E5-3C8B-4B1F-88C8-0221630FA9FA}">
  <dimension ref="A3:S50"/>
  <sheetViews>
    <sheetView workbookViewId="0">
      <selection activeCell="K13" sqref="K13"/>
    </sheetView>
  </sheetViews>
  <sheetFormatPr defaultRowHeight="12.75"/>
  <cols>
    <col min="1" max="1" width="49.7109375" customWidth="1"/>
    <col min="2" max="15" width="10.42578125" customWidth="1"/>
    <col min="16" max="16" width="11.7109375" bestFit="1" customWidth="1"/>
  </cols>
  <sheetData>
    <row r="3" spans="1:19">
      <c r="A3" s="7" t="s">
        <v>119</v>
      </c>
      <c r="B3" s="7" t="s">
        <v>118</v>
      </c>
    </row>
    <row r="4" spans="1:19">
      <c r="A4" s="7" t="s">
        <v>115</v>
      </c>
      <c r="B4" t="s">
        <v>77</v>
      </c>
      <c r="C4" t="s">
        <v>1</v>
      </c>
      <c r="D4" t="s">
        <v>46</v>
      </c>
      <c r="E4" t="s">
        <v>67</v>
      </c>
      <c r="F4" t="s">
        <v>85</v>
      </c>
      <c r="G4" t="s">
        <v>16</v>
      </c>
      <c r="H4" t="s">
        <v>60</v>
      </c>
      <c r="I4" t="s">
        <v>11</v>
      </c>
      <c r="J4" t="s">
        <v>55</v>
      </c>
      <c r="K4" t="s">
        <v>51</v>
      </c>
      <c r="L4" t="s">
        <v>104</v>
      </c>
      <c r="M4" t="s">
        <v>23</v>
      </c>
      <c r="N4" t="s">
        <v>81</v>
      </c>
      <c r="O4" t="s">
        <v>116</v>
      </c>
      <c r="P4" t="s">
        <v>117</v>
      </c>
      <c r="Q4" t="str">
        <f>B4</f>
        <v>Acidification</v>
      </c>
    </row>
    <row r="5" spans="1:19">
      <c r="A5" s="8" t="s">
        <v>90</v>
      </c>
      <c r="F5">
        <v>1</v>
      </c>
      <c r="P5">
        <v>1</v>
      </c>
      <c r="Q5" t="s">
        <v>120</v>
      </c>
    </row>
    <row r="6" spans="1:19">
      <c r="A6" s="8" t="s">
        <v>92</v>
      </c>
      <c r="F6">
        <v>1</v>
      </c>
      <c r="P6">
        <v>1</v>
      </c>
    </row>
    <row r="7" spans="1:19">
      <c r="A7" s="8" t="s">
        <v>89</v>
      </c>
      <c r="F7">
        <v>1</v>
      </c>
      <c r="P7">
        <v>1</v>
      </c>
    </row>
    <row r="8" spans="1:19">
      <c r="A8" s="8" t="s">
        <v>91</v>
      </c>
      <c r="F8">
        <v>1</v>
      </c>
      <c r="P8">
        <v>1</v>
      </c>
    </row>
    <row r="9" spans="1:19" s="10" customFormat="1">
      <c r="A9" s="9" t="s">
        <v>42</v>
      </c>
      <c r="M9" s="10">
        <v>1</v>
      </c>
      <c r="N9" s="10">
        <v>1</v>
      </c>
      <c r="P9" s="10">
        <v>2</v>
      </c>
      <c r="S9"/>
    </row>
    <row r="10" spans="1:19">
      <c r="A10" s="8" t="s">
        <v>80</v>
      </c>
      <c r="B10">
        <v>1</v>
      </c>
      <c r="P10">
        <v>1</v>
      </c>
    </row>
    <row r="11" spans="1:19">
      <c r="A11" s="8" t="s">
        <v>24</v>
      </c>
      <c r="M11">
        <v>5</v>
      </c>
      <c r="P11">
        <v>5</v>
      </c>
      <c r="S11">
        <f t="shared" ref="S11:S35" si="0">GETPIVOTDATA("Aspect of soil degradation",$A$3,"Aspect of soil degradation","Acidification","Soil descriptor","abundance and diversity of earthworms")</f>
        <v>0</v>
      </c>
    </row>
    <row r="12" spans="1:19">
      <c r="A12" s="8" t="s">
        <v>82</v>
      </c>
      <c r="N12">
        <v>1</v>
      </c>
      <c r="P12">
        <v>1</v>
      </c>
      <c r="S12">
        <f t="shared" si="0"/>
        <v>0</v>
      </c>
    </row>
    <row r="13" spans="1:19">
      <c r="A13" s="8" t="s">
        <v>59</v>
      </c>
      <c r="J13">
        <v>1</v>
      </c>
      <c r="P13">
        <v>1</v>
      </c>
      <c r="S13">
        <f t="shared" si="0"/>
        <v>0</v>
      </c>
    </row>
    <row r="14" spans="1:19">
      <c r="A14" s="8" t="s">
        <v>56</v>
      </c>
      <c r="J14">
        <v>1</v>
      </c>
      <c r="P14">
        <v>1</v>
      </c>
      <c r="S14">
        <f t="shared" si="0"/>
        <v>0</v>
      </c>
    </row>
    <row r="15" spans="1:19">
      <c r="A15" s="8" t="s">
        <v>96</v>
      </c>
      <c r="J15">
        <v>1</v>
      </c>
      <c r="P15">
        <v>1</v>
      </c>
      <c r="S15">
        <f t="shared" si="0"/>
        <v>0</v>
      </c>
    </row>
    <row r="16" spans="1:19">
      <c r="A16" s="8" t="s">
        <v>98</v>
      </c>
      <c r="J16">
        <v>1</v>
      </c>
      <c r="P16">
        <v>1</v>
      </c>
      <c r="S16">
        <f t="shared" si="0"/>
        <v>0</v>
      </c>
    </row>
    <row r="17" spans="1:19">
      <c r="A17" s="8" t="s">
        <v>100</v>
      </c>
      <c r="J17">
        <v>1</v>
      </c>
      <c r="P17">
        <v>1</v>
      </c>
      <c r="S17">
        <f t="shared" si="0"/>
        <v>0</v>
      </c>
    </row>
    <row r="18" spans="1:19">
      <c r="A18" s="8" t="s">
        <v>114</v>
      </c>
      <c r="L18">
        <v>1</v>
      </c>
      <c r="P18">
        <v>1</v>
      </c>
      <c r="S18">
        <f t="shared" si="0"/>
        <v>0</v>
      </c>
    </row>
    <row r="19" spans="1:19">
      <c r="A19" s="8" t="s">
        <v>86</v>
      </c>
      <c r="F19">
        <v>1</v>
      </c>
      <c r="P19">
        <v>1</v>
      </c>
      <c r="S19">
        <f t="shared" si="0"/>
        <v>0</v>
      </c>
    </row>
    <row r="20" spans="1:19">
      <c r="A20" s="8" t="s">
        <v>12</v>
      </c>
      <c r="I20">
        <v>1</v>
      </c>
      <c r="P20">
        <v>1</v>
      </c>
      <c r="S20">
        <f t="shared" si="0"/>
        <v>0</v>
      </c>
    </row>
    <row r="21" spans="1:19">
      <c r="A21" s="8" t="s">
        <v>47</v>
      </c>
      <c r="D21">
        <v>1</v>
      </c>
      <c r="P21">
        <v>1</v>
      </c>
      <c r="S21">
        <f t="shared" si="0"/>
        <v>0</v>
      </c>
    </row>
    <row r="22" spans="1:19">
      <c r="A22" s="8" t="s">
        <v>111</v>
      </c>
      <c r="L22">
        <v>1</v>
      </c>
      <c r="P22">
        <v>1</v>
      </c>
      <c r="S22">
        <f t="shared" si="0"/>
        <v>0</v>
      </c>
    </row>
    <row r="23" spans="1:19">
      <c r="A23" s="8" t="s">
        <v>112</v>
      </c>
      <c r="L23">
        <v>1</v>
      </c>
      <c r="P23">
        <v>1</v>
      </c>
      <c r="S23">
        <f t="shared" si="0"/>
        <v>0</v>
      </c>
    </row>
    <row r="24" spans="1:19">
      <c r="A24" s="8" t="s">
        <v>113</v>
      </c>
      <c r="L24">
        <v>1</v>
      </c>
      <c r="P24">
        <v>1</v>
      </c>
      <c r="S24">
        <f t="shared" si="0"/>
        <v>0</v>
      </c>
    </row>
    <row r="25" spans="1:19">
      <c r="A25" s="8" t="s">
        <v>109</v>
      </c>
      <c r="L25">
        <v>2</v>
      </c>
      <c r="P25">
        <v>2</v>
      </c>
      <c r="S25">
        <f t="shared" si="0"/>
        <v>0</v>
      </c>
    </row>
    <row r="26" spans="1:19">
      <c r="A26" s="8" t="s">
        <v>87</v>
      </c>
      <c r="F26">
        <v>1</v>
      </c>
      <c r="P26">
        <v>1</v>
      </c>
      <c r="S26">
        <f t="shared" si="0"/>
        <v>0</v>
      </c>
    </row>
    <row r="27" spans="1:19">
      <c r="A27" s="8" t="s">
        <v>88</v>
      </c>
      <c r="F27">
        <v>1</v>
      </c>
      <c r="P27">
        <v>1</v>
      </c>
      <c r="S27">
        <f t="shared" si="0"/>
        <v>0</v>
      </c>
    </row>
    <row r="28" spans="1:19">
      <c r="A28" s="8" t="s">
        <v>94</v>
      </c>
      <c r="F28">
        <v>1</v>
      </c>
      <c r="P28">
        <v>1</v>
      </c>
      <c r="S28">
        <f t="shared" si="0"/>
        <v>0</v>
      </c>
    </row>
    <row r="29" spans="1:19">
      <c r="A29" s="8" t="s">
        <v>37</v>
      </c>
      <c r="M29">
        <v>1</v>
      </c>
      <c r="P29">
        <v>1</v>
      </c>
      <c r="S29">
        <f t="shared" si="0"/>
        <v>0</v>
      </c>
    </row>
    <row r="30" spans="1:19">
      <c r="A30" s="8" t="s">
        <v>84</v>
      </c>
      <c r="N30">
        <v>1</v>
      </c>
      <c r="P30">
        <v>1</v>
      </c>
      <c r="S30">
        <f t="shared" si="0"/>
        <v>0</v>
      </c>
    </row>
    <row r="31" spans="1:19">
      <c r="A31" s="8" t="s">
        <v>17</v>
      </c>
      <c r="G31">
        <v>2</v>
      </c>
      <c r="P31">
        <v>2</v>
      </c>
      <c r="S31">
        <f t="shared" si="0"/>
        <v>0</v>
      </c>
    </row>
    <row r="32" spans="1:19">
      <c r="A32" s="8" t="s">
        <v>72</v>
      </c>
      <c r="E32">
        <v>1</v>
      </c>
      <c r="P32">
        <v>1</v>
      </c>
      <c r="S32">
        <f t="shared" si="0"/>
        <v>0</v>
      </c>
    </row>
    <row r="33" spans="1:19">
      <c r="A33" s="8" t="s">
        <v>68</v>
      </c>
      <c r="E33">
        <v>1</v>
      </c>
      <c r="P33">
        <v>1</v>
      </c>
      <c r="S33">
        <f t="shared" si="0"/>
        <v>0</v>
      </c>
    </row>
    <row r="34" spans="1:19">
      <c r="A34" s="8" t="s">
        <v>76</v>
      </c>
      <c r="D34">
        <v>1</v>
      </c>
      <c r="P34">
        <v>1</v>
      </c>
      <c r="S34">
        <f t="shared" si="0"/>
        <v>0</v>
      </c>
    </row>
    <row r="35" spans="1:19">
      <c r="A35" s="8" t="s">
        <v>78</v>
      </c>
      <c r="B35">
        <v>1</v>
      </c>
      <c r="P35">
        <v>1</v>
      </c>
      <c r="S35">
        <f t="shared" si="0"/>
        <v>0</v>
      </c>
    </row>
    <row r="36" spans="1:19">
      <c r="A36" s="8" t="s">
        <v>110</v>
      </c>
      <c r="L36">
        <v>1</v>
      </c>
      <c r="P36">
        <v>1</v>
      </c>
    </row>
    <row r="37" spans="1:19">
      <c r="A37" s="8" t="s">
        <v>95</v>
      </c>
      <c r="F37">
        <v>1</v>
      </c>
      <c r="P37">
        <v>1</v>
      </c>
    </row>
    <row r="38" spans="1:19">
      <c r="A38" s="8" t="s">
        <v>93</v>
      </c>
      <c r="F38">
        <v>1</v>
      </c>
      <c r="P38">
        <v>1</v>
      </c>
    </row>
    <row r="39" spans="1:19">
      <c r="A39" s="8" t="s">
        <v>52</v>
      </c>
      <c r="K39">
        <v>1</v>
      </c>
      <c r="P39">
        <v>1</v>
      </c>
    </row>
    <row r="40" spans="1:19">
      <c r="A40" s="8" t="s">
        <v>103</v>
      </c>
      <c r="C40">
        <v>1</v>
      </c>
      <c r="P40">
        <v>1</v>
      </c>
    </row>
    <row r="41" spans="1:19">
      <c r="A41" s="8" t="s">
        <v>107</v>
      </c>
      <c r="L41">
        <v>2</v>
      </c>
      <c r="P41">
        <v>2</v>
      </c>
    </row>
    <row r="42" spans="1:19">
      <c r="A42" s="8" t="s">
        <v>102</v>
      </c>
      <c r="C42">
        <v>1</v>
      </c>
      <c r="P42">
        <v>1</v>
      </c>
    </row>
    <row r="43" spans="1:19">
      <c r="A43" s="8" t="s">
        <v>74</v>
      </c>
      <c r="D43">
        <v>1</v>
      </c>
      <c r="P43">
        <v>1</v>
      </c>
    </row>
    <row r="44" spans="1:19">
      <c r="A44" s="8" t="s">
        <v>105</v>
      </c>
      <c r="L44">
        <v>2</v>
      </c>
      <c r="P44">
        <v>2</v>
      </c>
    </row>
    <row r="45" spans="1:19">
      <c r="A45" s="8" t="s">
        <v>108</v>
      </c>
      <c r="L45">
        <v>2</v>
      </c>
      <c r="P45">
        <v>2</v>
      </c>
    </row>
    <row r="46" spans="1:19">
      <c r="A46" s="8" t="s">
        <v>66</v>
      </c>
      <c r="H46">
        <v>1</v>
      </c>
      <c r="P46">
        <v>1</v>
      </c>
    </row>
    <row r="47" spans="1:19">
      <c r="A47" s="8" t="s">
        <v>65</v>
      </c>
      <c r="H47">
        <v>1</v>
      </c>
      <c r="P47">
        <v>1</v>
      </c>
    </row>
    <row r="48" spans="1:19">
      <c r="A48" s="8" t="s">
        <v>61</v>
      </c>
      <c r="H48">
        <v>1</v>
      </c>
      <c r="P48">
        <v>1</v>
      </c>
    </row>
    <row r="49" spans="1:16">
      <c r="A49" s="8" t="s">
        <v>116</v>
      </c>
    </row>
    <row r="50" spans="1:16">
      <c r="A50" s="8" t="s">
        <v>117</v>
      </c>
      <c r="B50">
        <v>2</v>
      </c>
      <c r="C50">
        <v>2</v>
      </c>
      <c r="D50">
        <v>3</v>
      </c>
      <c r="E50">
        <v>2</v>
      </c>
      <c r="F50">
        <v>10</v>
      </c>
      <c r="G50">
        <v>2</v>
      </c>
      <c r="H50">
        <v>3</v>
      </c>
      <c r="I50">
        <v>1</v>
      </c>
      <c r="J50">
        <v>5</v>
      </c>
      <c r="K50">
        <v>1</v>
      </c>
      <c r="L50">
        <v>13</v>
      </c>
      <c r="M50">
        <v>7</v>
      </c>
      <c r="N50">
        <v>3</v>
      </c>
      <c r="P50">
        <v>54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C52B5-359B-44DE-BF42-31BEB529EB8C}">
  <dimension ref="A1:I59"/>
  <sheetViews>
    <sheetView workbookViewId="0">
      <selection sqref="A1:E1048576"/>
    </sheetView>
  </sheetViews>
  <sheetFormatPr defaultRowHeight="12.75"/>
  <cols>
    <col min="1" max="1" width="8.42578125" customWidth="1"/>
    <col min="2" max="2" width="24.5703125" customWidth="1"/>
    <col min="3" max="3" width="4.7109375" customWidth="1"/>
    <col min="4" max="4" width="38.42578125" customWidth="1"/>
    <col min="5" max="5" width="22.42578125" customWidth="1"/>
  </cols>
  <sheetData>
    <row r="1" spans="1:9" ht="15">
      <c r="A1" s="1"/>
      <c r="B1" s="1" t="s">
        <v>1</v>
      </c>
      <c r="C1" s="1" t="s">
        <v>2</v>
      </c>
      <c r="D1" s="1" t="s">
        <v>3</v>
      </c>
      <c r="E1" s="1" t="s">
        <v>4</v>
      </c>
    </row>
    <row r="2" spans="1:9" ht="15">
      <c r="A2" s="2"/>
      <c r="B2" s="2"/>
      <c r="C2" s="2"/>
      <c r="D2" s="2"/>
      <c r="E2" s="2"/>
    </row>
    <row r="3" spans="1:9" ht="15">
      <c r="A3" s="2" t="s">
        <v>123</v>
      </c>
      <c r="B3" s="2" t="s">
        <v>11</v>
      </c>
      <c r="C3" s="2"/>
      <c r="D3" s="2" t="s">
        <v>12</v>
      </c>
      <c r="E3" s="3" t="s">
        <v>13</v>
      </c>
    </row>
    <row r="4" spans="1:9" ht="15">
      <c r="A4" s="2" t="s">
        <v>123</v>
      </c>
      <c r="B4" s="34" t="s">
        <v>16</v>
      </c>
      <c r="C4" s="35"/>
      <c r="D4" s="2" t="s">
        <v>17</v>
      </c>
      <c r="E4" s="3" t="s">
        <v>18</v>
      </c>
    </row>
    <row r="5" spans="1:9" ht="15">
      <c r="A5" s="2" t="s">
        <v>123</v>
      </c>
      <c r="B5" s="34" t="s">
        <v>16</v>
      </c>
      <c r="C5" s="35"/>
      <c r="D5" s="2" t="s">
        <v>17</v>
      </c>
      <c r="E5" s="3" t="s">
        <v>18</v>
      </c>
    </row>
    <row r="6" spans="1:9" ht="15">
      <c r="A6" s="2" t="s">
        <v>123</v>
      </c>
      <c r="B6" s="2" t="s">
        <v>23</v>
      </c>
      <c r="C6" s="2"/>
      <c r="D6" s="2" t="s">
        <v>24</v>
      </c>
      <c r="E6" s="3" t="s">
        <v>25</v>
      </c>
      <c r="H6">
        <v>1</v>
      </c>
      <c r="I6" t="str">
        <f>IF(H6=1,"X","Y")</f>
        <v>X</v>
      </c>
    </row>
    <row r="7" spans="1:9" ht="15">
      <c r="A7" s="2" t="s">
        <v>123</v>
      </c>
      <c r="B7" s="2" t="s">
        <v>23</v>
      </c>
      <c r="C7" s="2"/>
      <c r="D7" s="2" t="s">
        <v>24</v>
      </c>
      <c r="E7" s="3" t="s">
        <v>25</v>
      </c>
    </row>
    <row r="8" spans="1:9" ht="15">
      <c r="A8" s="2" t="s">
        <v>123</v>
      </c>
      <c r="B8" s="2" t="s">
        <v>23</v>
      </c>
      <c r="C8" s="2"/>
      <c r="D8" s="2" t="s">
        <v>24</v>
      </c>
      <c r="E8" s="3" t="s">
        <v>25</v>
      </c>
    </row>
    <row r="9" spans="1:9" ht="15">
      <c r="A9" s="2" t="s">
        <v>123</v>
      </c>
      <c r="B9" s="2" t="s">
        <v>23</v>
      </c>
      <c r="C9" s="2"/>
      <c r="D9" s="2" t="s">
        <v>24</v>
      </c>
      <c r="E9" s="3" t="s">
        <v>25</v>
      </c>
    </row>
    <row r="10" spans="1:9" ht="15">
      <c r="A10" s="2" t="s">
        <v>123</v>
      </c>
      <c r="B10" s="2" t="s">
        <v>23</v>
      </c>
      <c r="C10" s="2"/>
      <c r="D10" s="2" t="s">
        <v>24</v>
      </c>
      <c r="E10" s="3" t="s">
        <v>25</v>
      </c>
    </row>
    <row r="11" spans="1:9" ht="15">
      <c r="A11" s="2" t="s">
        <v>123</v>
      </c>
      <c r="B11" s="2" t="s">
        <v>23</v>
      </c>
      <c r="C11" s="2" t="s">
        <v>36</v>
      </c>
      <c r="D11" s="2" t="s">
        <v>37</v>
      </c>
      <c r="E11" s="5" t="s">
        <v>38</v>
      </c>
    </row>
    <row r="12" spans="1:9" ht="15">
      <c r="A12" s="2" t="s">
        <v>123</v>
      </c>
      <c r="B12" s="2" t="s">
        <v>23</v>
      </c>
      <c r="C12" s="2" t="s">
        <v>36</v>
      </c>
      <c r="D12" s="2" t="s">
        <v>42</v>
      </c>
      <c r="E12" s="3" t="s">
        <v>43</v>
      </c>
    </row>
    <row r="13" spans="1:9" ht="15">
      <c r="A13" s="2"/>
      <c r="B13" s="2"/>
      <c r="C13" s="2"/>
      <c r="D13" s="2"/>
      <c r="E13" s="2"/>
    </row>
    <row r="14" spans="1:9" ht="15">
      <c r="A14" s="2" t="s">
        <v>124</v>
      </c>
      <c r="B14" s="34" t="s">
        <v>46</v>
      </c>
      <c r="C14" s="35"/>
      <c r="D14" s="2" t="s">
        <v>47</v>
      </c>
      <c r="E14" s="3" t="s">
        <v>48</v>
      </c>
    </row>
    <row r="15" spans="1:9" ht="15">
      <c r="A15" s="2" t="s">
        <v>124</v>
      </c>
      <c r="B15" s="2" t="s">
        <v>51</v>
      </c>
      <c r="C15" s="2"/>
      <c r="D15" s="2" t="s">
        <v>52</v>
      </c>
      <c r="E15" s="3" t="s">
        <v>53</v>
      </c>
    </row>
    <row r="16" spans="1:9" ht="15">
      <c r="A16" s="2" t="s">
        <v>124</v>
      </c>
      <c r="B16" s="2" t="s">
        <v>55</v>
      </c>
      <c r="C16" s="2"/>
      <c r="D16" s="2" t="s">
        <v>56</v>
      </c>
      <c r="E16" s="3" t="s">
        <v>48</v>
      </c>
    </row>
    <row r="17" spans="1:5" ht="15">
      <c r="A17" s="2" t="s">
        <v>124</v>
      </c>
      <c r="B17" s="2" t="s">
        <v>55</v>
      </c>
      <c r="C17" s="2"/>
      <c r="D17" s="2" t="s">
        <v>59</v>
      </c>
      <c r="E17" s="2"/>
    </row>
    <row r="18" spans="1:5" ht="15">
      <c r="A18" s="2" t="s">
        <v>124</v>
      </c>
      <c r="B18" s="34" t="s">
        <v>60</v>
      </c>
      <c r="C18" s="35"/>
      <c r="D18" s="2" t="s">
        <v>61</v>
      </c>
      <c r="E18" s="5" t="s">
        <v>62</v>
      </c>
    </row>
    <row r="19" spans="1:5" ht="15">
      <c r="A19" s="2" t="s">
        <v>124</v>
      </c>
      <c r="B19" s="34" t="s">
        <v>60</v>
      </c>
      <c r="C19" s="35"/>
      <c r="D19" s="2" t="s">
        <v>65</v>
      </c>
      <c r="E19" s="5" t="s">
        <v>38</v>
      </c>
    </row>
    <row r="20" spans="1:5" ht="15">
      <c r="A20" s="2" t="s">
        <v>124</v>
      </c>
      <c r="B20" s="34" t="s">
        <v>60</v>
      </c>
      <c r="C20" s="35"/>
      <c r="D20" s="2" t="s">
        <v>66</v>
      </c>
      <c r="E20" s="3" t="s">
        <v>43</v>
      </c>
    </row>
    <row r="21" spans="1:5" ht="15">
      <c r="A21" s="2" t="s">
        <v>124</v>
      </c>
      <c r="B21" s="2" t="s">
        <v>67</v>
      </c>
      <c r="C21" s="2"/>
      <c r="D21" s="2" t="s">
        <v>68</v>
      </c>
      <c r="E21" s="3" t="s">
        <v>69</v>
      </c>
    </row>
    <row r="22" spans="1:5" ht="15">
      <c r="A22" s="2" t="s">
        <v>124</v>
      </c>
      <c r="B22" s="2" t="s">
        <v>67</v>
      </c>
      <c r="C22" s="2"/>
      <c r="D22" s="2" t="s">
        <v>72</v>
      </c>
      <c r="E22" s="3" t="s">
        <v>18</v>
      </c>
    </row>
    <row r="23" spans="1:5" ht="15">
      <c r="A23" s="2"/>
      <c r="B23" s="2"/>
      <c r="C23" s="2"/>
      <c r="D23" s="2"/>
      <c r="E23" s="2"/>
    </row>
    <row r="24" spans="1:5" ht="15">
      <c r="A24" s="2" t="s">
        <v>125</v>
      </c>
      <c r="B24" s="34" t="s">
        <v>46</v>
      </c>
      <c r="C24" s="35"/>
      <c r="D24" s="2" t="s">
        <v>74</v>
      </c>
      <c r="E24" s="3" t="s">
        <v>75</v>
      </c>
    </row>
    <row r="25" spans="1:5" ht="15">
      <c r="A25" s="2" t="s">
        <v>125</v>
      </c>
      <c r="B25" s="34" t="s">
        <v>46</v>
      </c>
      <c r="C25" s="35"/>
      <c r="D25" s="2" t="s">
        <v>76</v>
      </c>
      <c r="E25" s="3" t="s">
        <v>43</v>
      </c>
    </row>
    <row r="26" spans="1:5" ht="15">
      <c r="A26" s="2" t="s">
        <v>125</v>
      </c>
      <c r="B26" s="2" t="s">
        <v>77</v>
      </c>
      <c r="C26" s="2"/>
      <c r="D26" s="2" t="s">
        <v>78</v>
      </c>
      <c r="E26" s="3" t="s">
        <v>79</v>
      </c>
    </row>
    <row r="27" spans="1:5" ht="15">
      <c r="A27" s="2" t="s">
        <v>125</v>
      </c>
      <c r="B27" s="2" t="s">
        <v>77</v>
      </c>
      <c r="C27" s="2" t="s">
        <v>36</v>
      </c>
      <c r="D27" s="2" t="s">
        <v>80</v>
      </c>
      <c r="E27" s="2"/>
    </row>
    <row r="28" spans="1:5" ht="15">
      <c r="A28" s="2" t="s">
        <v>125</v>
      </c>
      <c r="B28" s="2" t="s">
        <v>81</v>
      </c>
      <c r="C28" s="2"/>
      <c r="D28" s="2" t="s">
        <v>82</v>
      </c>
      <c r="E28" s="3" t="s">
        <v>25</v>
      </c>
    </row>
    <row r="29" spans="1:5" ht="15">
      <c r="A29" s="2" t="s">
        <v>125</v>
      </c>
      <c r="B29" s="2" t="s">
        <v>81</v>
      </c>
      <c r="C29" s="2"/>
      <c r="D29" s="2" t="s">
        <v>84</v>
      </c>
      <c r="E29" s="5" t="s">
        <v>38</v>
      </c>
    </row>
    <row r="30" spans="1:5" ht="15">
      <c r="A30" s="2" t="s">
        <v>125</v>
      </c>
      <c r="B30" s="2" t="s">
        <v>81</v>
      </c>
      <c r="C30" s="2"/>
      <c r="D30" s="2" t="s">
        <v>42</v>
      </c>
      <c r="E30" s="3" t="s">
        <v>43</v>
      </c>
    </row>
    <row r="31" spans="1:5" ht="15">
      <c r="A31" s="2" t="s">
        <v>125</v>
      </c>
      <c r="B31" s="2" t="s">
        <v>85</v>
      </c>
      <c r="C31" s="2"/>
      <c r="D31" s="2" t="s">
        <v>86</v>
      </c>
      <c r="E31" s="2"/>
    </row>
    <row r="32" spans="1:5" ht="15">
      <c r="A32" s="2" t="s">
        <v>125</v>
      </c>
      <c r="B32" s="2" t="s">
        <v>85</v>
      </c>
      <c r="C32" s="2"/>
      <c r="D32" s="2" t="s">
        <v>87</v>
      </c>
      <c r="E32" s="2"/>
    </row>
    <row r="33" spans="1:5" ht="15">
      <c r="A33" s="2" t="s">
        <v>125</v>
      </c>
      <c r="B33" s="2" t="s">
        <v>85</v>
      </c>
      <c r="C33" s="2"/>
      <c r="D33" s="2" t="s">
        <v>88</v>
      </c>
      <c r="E33" s="2"/>
    </row>
    <row r="34" spans="1:5" ht="15">
      <c r="A34" s="2" t="s">
        <v>125</v>
      </c>
      <c r="B34" s="2" t="s">
        <v>85</v>
      </c>
      <c r="C34" s="2"/>
      <c r="D34" s="2" t="s">
        <v>89</v>
      </c>
      <c r="E34" s="2"/>
    </row>
    <row r="35" spans="1:5" ht="15">
      <c r="A35" s="2" t="s">
        <v>125</v>
      </c>
      <c r="B35" s="2" t="s">
        <v>85</v>
      </c>
      <c r="C35" s="2"/>
      <c r="D35" s="2" t="s">
        <v>90</v>
      </c>
      <c r="E35" s="2"/>
    </row>
    <row r="36" spans="1:5" ht="15">
      <c r="A36" s="2" t="s">
        <v>125</v>
      </c>
      <c r="B36" s="2" t="s">
        <v>85</v>
      </c>
      <c r="C36" s="2"/>
      <c r="D36" s="2" t="s">
        <v>91</v>
      </c>
      <c r="E36" s="2"/>
    </row>
    <row r="37" spans="1:5" ht="15">
      <c r="A37" s="2" t="s">
        <v>125</v>
      </c>
      <c r="B37" s="2" t="s">
        <v>85</v>
      </c>
      <c r="C37" s="2"/>
      <c r="D37" s="2" t="s">
        <v>92</v>
      </c>
      <c r="E37" s="2"/>
    </row>
    <row r="38" spans="1:5" ht="15">
      <c r="A38" s="2" t="s">
        <v>125</v>
      </c>
      <c r="B38" s="2" t="s">
        <v>85</v>
      </c>
      <c r="C38" s="2"/>
      <c r="D38" s="2" t="s">
        <v>93</v>
      </c>
      <c r="E38" s="2"/>
    </row>
    <row r="39" spans="1:5" ht="15">
      <c r="A39" s="2" t="s">
        <v>125</v>
      </c>
      <c r="B39" s="2" t="s">
        <v>85</v>
      </c>
      <c r="C39" s="2"/>
      <c r="D39" s="2" t="s">
        <v>94</v>
      </c>
      <c r="E39" s="2"/>
    </row>
    <row r="40" spans="1:5" ht="15">
      <c r="A40" s="2" t="s">
        <v>125</v>
      </c>
      <c r="B40" s="2" t="s">
        <v>85</v>
      </c>
      <c r="C40" s="2"/>
      <c r="D40" s="2" t="s">
        <v>95</v>
      </c>
      <c r="E40" s="2"/>
    </row>
    <row r="41" spans="1:5" ht="15">
      <c r="A41" s="2" t="s">
        <v>125</v>
      </c>
      <c r="B41" s="2" t="s">
        <v>55</v>
      </c>
      <c r="C41" s="2"/>
      <c r="D41" s="2" t="s">
        <v>96</v>
      </c>
      <c r="E41" s="2"/>
    </row>
    <row r="42" spans="1:5" ht="15">
      <c r="A42" s="2" t="s">
        <v>125</v>
      </c>
      <c r="B42" s="2" t="s">
        <v>55</v>
      </c>
      <c r="C42" s="2"/>
      <c r="D42" s="2" t="s">
        <v>98</v>
      </c>
      <c r="E42" s="2"/>
    </row>
    <row r="43" spans="1:5" ht="15">
      <c r="A43" s="2" t="s">
        <v>125</v>
      </c>
      <c r="B43" s="2" t="s">
        <v>55</v>
      </c>
      <c r="C43" s="2" t="s">
        <v>36</v>
      </c>
      <c r="D43" s="2" t="s">
        <v>100</v>
      </c>
      <c r="E43" s="2"/>
    </row>
    <row r="44" spans="1:5" ht="15">
      <c r="A44" s="2"/>
      <c r="B44" s="2"/>
      <c r="C44" s="2"/>
      <c r="D44" s="2"/>
      <c r="E44" s="2"/>
    </row>
    <row r="45" spans="1:5" ht="15">
      <c r="A45" s="2" t="s">
        <v>126</v>
      </c>
      <c r="B45" s="2" t="s">
        <v>1</v>
      </c>
      <c r="C45" s="2"/>
      <c r="D45" s="2" t="s">
        <v>102</v>
      </c>
      <c r="E45" s="2"/>
    </row>
    <row r="46" spans="1:5" ht="15">
      <c r="A46" s="2" t="s">
        <v>126</v>
      </c>
      <c r="B46" s="2" t="s">
        <v>1</v>
      </c>
      <c r="C46" s="2"/>
      <c r="D46" s="2" t="s">
        <v>103</v>
      </c>
      <c r="E46" s="2"/>
    </row>
    <row r="47" spans="1:5" ht="15">
      <c r="A47" s="2" t="s">
        <v>126</v>
      </c>
      <c r="B47" s="34" t="s">
        <v>104</v>
      </c>
      <c r="C47" s="35"/>
      <c r="D47" s="2" t="s">
        <v>105</v>
      </c>
      <c r="E47" s="3" t="s">
        <v>106</v>
      </c>
    </row>
    <row r="48" spans="1:5" ht="15">
      <c r="A48" s="2" t="s">
        <v>126</v>
      </c>
      <c r="B48" s="34" t="s">
        <v>104</v>
      </c>
      <c r="C48" s="35"/>
      <c r="D48" s="2" t="s">
        <v>105</v>
      </c>
      <c r="E48" s="3" t="s">
        <v>43</v>
      </c>
    </row>
    <row r="49" spans="1:5" ht="15">
      <c r="A49" s="2" t="s">
        <v>126</v>
      </c>
      <c r="B49" s="34" t="s">
        <v>104</v>
      </c>
      <c r="C49" s="35"/>
      <c r="D49" s="2" t="s">
        <v>107</v>
      </c>
      <c r="E49" s="3" t="s">
        <v>106</v>
      </c>
    </row>
    <row r="50" spans="1:5" ht="15">
      <c r="A50" s="2" t="s">
        <v>126</v>
      </c>
      <c r="B50" s="34" t="s">
        <v>104</v>
      </c>
      <c r="C50" s="35"/>
      <c r="D50" s="2" t="s">
        <v>107</v>
      </c>
      <c r="E50" s="3" t="s">
        <v>43</v>
      </c>
    </row>
    <row r="51" spans="1:5" ht="15">
      <c r="A51" s="2" t="s">
        <v>126</v>
      </c>
      <c r="B51" s="34" t="s">
        <v>104</v>
      </c>
      <c r="C51" s="35"/>
      <c r="D51" s="2" t="s">
        <v>108</v>
      </c>
      <c r="E51" s="3" t="s">
        <v>106</v>
      </c>
    </row>
    <row r="52" spans="1:5" ht="15">
      <c r="A52" s="2" t="s">
        <v>126</v>
      </c>
      <c r="B52" s="34" t="s">
        <v>104</v>
      </c>
      <c r="C52" s="35"/>
      <c r="D52" s="2" t="s">
        <v>108</v>
      </c>
      <c r="E52" s="3" t="s">
        <v>43</v>
      </c>
    </row>
    <row r="53" spans="1:5" ht="15">
      <c r="A53" s="2" t="s">
        <v>126</v>
      </c>
      <c r="B53" s="34" t="s">
        <v>104</v>
      </c>
      <c r="C53" s="35"/>
      <c r="D53" s="2" t="s">
        <v>109</v>
      </c>
      <c r="E53" s="3" t="s">
        <v>106</v>
      </c>
    </row>
    <row r="54" spans="1:5" ht="15">
      <c r="A54" s="2" t="s">
        <v>126</v>
      </c>
      <c r="B54" s="34" t="s">
        <v>104</v>
      </c>
      <c r="C54" s="35"/>
      <c r="D54" s="2" t="s">
        <v>109</v>
      </c>
      <c r="E54" s="3" t="s">
        <v>43</v>
      </c>
    </row>
    <row r="55" spans="1:5" ht="15">
      <c r="A55" s="2" t="s">
        <v>126</v>
      </c>
      <c r="B55" s="2" t="s">
        <v>104</v>
      </c>
      <c r="C55" s="2" t="s">
        <v>36</v>
      </c>
      <c r="D55" s="2" t="s">
        <v>110</v>
      </c>
      <c r="E55" s="2"/>
    </row>
    <row r="56" spans="1:5" ht="15">
      <c r="A56" s="2" t="s">
        <v>126</v>
      </c>
      <c r="B56" s="2" t="s">
        <v>104</v>
      </c>
      <c r="C56" s="2" t="s">
        <v>36</v>
      </c>
      <c r="D56" s="2" t="s">
        <v>111</v>
      </c>
      <c r="E56" s="2"/>
    </row>
    <row r="57" spans="1:5" ht="15">
      <c r="A57" s="2" t="s">
        <v>126</v>
      </c>
      <c r="B57" s="2" t="s">
        <v>104</v>
      </c>
      <c r="C57" s="2" t="s">
        <v>36</v>
      </c>
      <c r="D57" s="2" t="s">
        <v>112</v>
      </c>
      <c r="E57" s="2"/>
    </row>
    <row r="58" spans="1:5" ht="15">
      <c r="A58" s="2" t="s">
        <v>126</v>
      </c>
      <c r="B58" s="2" t="s">
        <v>104</v>
      </c>
      <c r="C58" s="2" t="s">
        <v>36</v>
      </c>
      <c r="D58" s="2" t="s">
        <v>113</v>
      </c>
      <c r="E58" s="2"/>
    </row>
    <row r="59" spans="1:5" ht="15">
      <c r="A59" s="2" t="s">
        <v>126</v>
      </c>
      <c r="B59" s="2" t="s">
        <v>104</v>
      </c>
      <c r="C59" s="2" t="s">
        <v>36</v>
      </c>
      <c r="D59" s="2" t="s">
        <v>114</v>
      </c>
      <c r="E59" s="2"/>
    </row>
  </sheetData>
  <mergeCells count="16">
    <mergeCell ref="B54:C54"/>
    <mergeCell ref="B4:C4"/>
    <mergeCell ref="B5:C5"/>
    <mergeCell ref="B14:C14"/>
    <mergeCell ref="B18:C18"/>
    <mergeCell ref="B19:C19"/>
    <mergeCell ref="B20:C20"/>
    <mergeCell ref="B24:C24"/>
    <mergeCell ref="B25:C25"/>
    <mergeCell ref="B47:C47"/>
    <mergeCell ref="B48:C48"/>
    <mergeCell ref="B49:C49"/>
    <mergeCell ref="B50:C50"/>
    <mergeCell ref="B51:C51"/>
    <mergeCell ref="B52:C52"/>
    <mergeCell ref="B53:C5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1CEA7-AF3C-400E-9EBB-EA7931D76576}">
  <sheetPr>
    <outlinePr summaryBelow="0" summaryRight="0"/>
  </sheetPr>
  <dimension ref="A1:Z20"/>
  <sheetViews>
    <sheetView workbookViewId="0">
      <pane ySplit="1" topLeftCell="A2" activePane="bottomLeft" state="frozen"/>
      <selection pane="bottomLeft" activeCell="O20" sqref="A1:O20"/>
    </sheetView>
  </sheetViews>
  <sheetFormatPr defaultColWidth="12.5703125" defaultRowHeight="15.75" customHeight="1"/>
  <cols>
    <col min="1" max="1" width="14.7109375" style="22" bestFit="1" customWidth="1"/>
    <col min="2" max="2" width="19" style="22" customWidth="1"/>
    <col min="3" max="3" width="86.28515625" style="27" customWidth="1"/>
    <col min="4" max="4" width="19" style="22" bestFit="1" customWidth="1"/>
    <col min="5" max="15" width="12.5703125" style="22"/>
    <col min="17" max="17" width="0" hidden="1" customWidth="1"/>
    <col min="18" max="18" width="19" style="22" hidden="1" customWidth="1"/>
    <col min="19" max="19" width="42.42578125" style="22" hidden="1" customWidth="1"/>
    <col min="20" max="20" width="43.140625" style="22" hidden="1" customWidth="1"/>
    <col min="21" max="21" width="37.7109375" style="27" customWidth="1"/>
    <col min="22" max="22" width="44.7109375" style="22" customWidth="1"/>
    <col min="23" max="24" width="12.5703125" style="22" customWidth="1"/>
    <col min="25" max="25" width="7.7109375" style="22" customWidth="1"/>
    <col min="26" max="27" width="12.5703125" style="22" customWidth="1"/>
    <col min="28" max="16384" width="12.5703125" style="22"/>
  </cols>
  <sheetData>
    <row r="1" spans="1:26" ht="15">
      <c r="A1" s="15" t="s">
        <v>129</v>
      </c>
      <c r="B1" s="16" t="s">
        <v>239</v>
      </c>
      <c r="C1" s="29" t="s">
        <v>128</v>
      </c>
      <c r="D1" s="30" t="s">
        <v>332</v>
      </c>
      <c r="E1" s="30" t="s">
        <v>332</v>
      </c>
      <c r="F1" s="30" t="s">
        <v>332</v>
      </c>
      <c r="G1" s="30" t="s">
        <v>332</v>
      </c>
      <c r="H1" s="30" t="s">
        <v>332</v>
      </c>
      <c r="I1" s="30" t="s">
        <v>332</v>
      </c>
      <c r="J1" s="30" t="s">
        <v>332</v>
      </c>
      <c r="K1" s="30" t="s">
        <v>332</v>
      </c>
      <c r="L1" s="30" t="s">
        <v>332</v>
      </c>
      <c r="M1" s="30" t="s">
        <v>332</v>
      </c>
      <c r="N1" s="30" t="s">
        <v>332</v>
      </c>
      <c r="O1" s="30" t="s">
        <v>332</v>
      </c>
      <c r="S1" s="21" t="s">
        <v>3</v>
      </c>
      <c r="T1" s="21" t="s">
        <v>295</v>
      </c>
      <c r="U1" s="25" t="s">
        <v>296</v>
      </c>
      <c r="V1" s="21" t="s">
        <v>297</v>
      </c>
      <c r="W1" s="21" t="s">
        <v>298</v>
      </c>
      <c r="X1" s="21" t="s">
        <v>7</v>
      </c>
      <c r="Y1" s="21" t="s">
        <v>8</v>
      </c>
      <c r="Z1" s="21" t="s">
        <v>333</v>
      </c>
    </row>
    <row r="2" spans="1:26" ht="45">
      <c r="A2" s="12" t="s">
        <v>362</v>
      </c>
      <c r="B2" s="22" t="s">
        <v>349</v>
      </c>
      <c r="C2" s="28" t="str">
        <f t="shared" ref="C2:C20" si="0">U2  &amp;  IF(V2="","",CHAR(10) &amp; V2) &amp;  IF(X2="","",CHAR(10) &amp; X2) &amp; IF(Z2="","", CHAR(10) &amp; Z2)</f>
        <v>ISO 11277 Determination of particle size distribution in mineral soil material – Method by sieving and sedimentation</v>
      </c>
      <c r="S2" s="23" t="s">
        <v>299</v>
      </c>
      <c r="U2" s="26" t="s">
        <v>300</v>
      </c>
      <c r="V2" s="23"/>
      <c r="W2" s="23" t="s">
        <v>302</v>
      </c>
      <c r="X2" s="23"/>
      <c r="Y2" s="23"/>
      <c r="Z2" s="23"/>
    </row>
    <row r="3" spans="1:26" ht="30">
      <c r="A3" s="12" t="s">
        <v>362</v>
      </c>
      <c r="B3" s="12" t="s">
        <v>350</v>
      </c>
      <c r="C3" s="28" t="str">
        <f t="shared" si="0"/>
        <v>ISO 11265 Determination of the specific electrical conductivity</v>
      </c>
      <c r="D3" s="13" t="s">
        <v>160</v>
      </c>
      <c r="R3" s="12"/>
      <c r="S3" s="23" t="s">
        <v>303</v>
      </c>
      <c r="T3" s="23"/>
      <c r="U3" s="26" t="s">
        <v>334</v>
      </c>
      <c r="V3" s="23"/>
      <c r="W3" s="23" t="s">
        <v>302</v>
      </c>
      <c r="X3" s="23"/>
      <c r="Y3" s="23"/>
      <c r="Z3" s="23"/>
    </row>
    <row r="4" spans="1:26" ht="45">
      <c r="A4" s="12" t="s">
        <v>362</v>
      </c>
      <c r="B4" s="12" t="s">
        <v>341</v>
      </c>
      <c r="C4" s="28" t="str">
        <f t="shared" si="0"/>
        <v>saturated soil paste extract (eEC) measurement method (FAO SOP: GLOSOLAN-SOP-08 )
Standard operating procedure
 for saturated soil paste extract: https://www.fao.org/3/cb3355en/cb3355en.pdf</v>
      </c>
      <c r="D4" s="13" t="s">
        <v>160</v>
      </c>
      <c r="R4" s="12"/>
      <c r="S4" s="23" t="s">
        <v>303</v>
      </c>
      <c r="T4" s="23"/>
      <c r="U4" s="26" t="s">
        <v>335</v>
      </c>
      <c r="V4" s="23"/>
      <c r="W4" s="23" t="s">
        <v>302</v>
      </c>
      <c r="X4" s="23"/>
      <c r="Y4" s="24">
        <v>1</v>
      </c>
      <c r="Z4" s="23" t="s">
        <v>304</v>
      </c>
    </row>
    <row r="5" spans="1:26" ht="102">
      <c r="A5" s="12" t="s">
        <v>362</v>
      </c>
      <c r="B5" s="12" t="s">
        <v>342</v>
      </c>
      <c r="C5" s="28" t="str">
        <f t="shared" si="0"/>
        <v xml:space="preserve">
Soil erosion by water shall be assessed by considering the following factors:
 * soil characteristics (e.g. erodibility, soil crusting, soil roughness, stoniness)
 * topography (e.g. slope steepness and length)
 * climate (e.g. rainfall erosivity – intensity and duration)
 * vegetation cover, crop type, land use and management practices to control or reduce erosion
 * management practices (e.g. cover crops, reduced tillage, mulching, etc.)
 * burned areas</v>
      </c>
      <c r="D5" s="13" t="s">
        <v>189</v>
      </c>
      <c r="R5" s="12"/>
      <c r="S5" s="23" t="s">
        <v>305</v>
      </c>
      <c r="T5" s="23" t="s">
        <v>306</v>
      </c>
      <c r="U5" s="26"/>
      <c r="V5" s="23" t="s">
        <v>307</v>
      </c>
      <c r="W5" s="23" t="s">
        <v>301</v>
      </c>
      <c r="Y5" s="23"/>
      <c r="Z5" s="23"/>
    </row>
    <row r="6" spans="1:26" ht="76.5">
      <c r="A6" s="12" t="s">
        <v>362</v>
      </c>
      <c r="B6" s="12" t="s">
        <v>343</v>
      </c>
      <c r="C6" s="28" t="str">
        <f t="shared" si="0"/>
        <v xml:space="preserve">
Soil erosion by wind shall be assessed by considering the following factors:
 * soil characteristics (e.g. erodibility)
 * climate (e.g. soil moisture, wind speed, evaporation)
 * vegetation (e.g. crop type)
 * management practices to control or reduce erosion (e.g. wind breaks)</v>
      </c>
      <c r="D6" s="13" t="s">
        <v>189</v>
      </c>
      <c r="R6" s="12"/>
      <c r="S6" s="23" t="s">
        <v>305</v>
      </c>
      <c r="T6" s="23" t="s">
        <v>308</v>
      </c>
      <c r="U6" s="26"/>
      <c r="V6" s="23" t="s">
        <v>309</v>
      </c>
      <c r="W6" s="23" t="s">
        <v>301</v>
      </c>
      <c r="Y6" s="23"/>
      <c r="Z6" s="23"/>
    </row>
    <row r="7" spans="1:26" ht="120">
      <c r="A7" s="12" t="s">
        <v>362</v>
      </c>
      <c r="B7" s="12" t="s">
        <v>351</v>
      </c>
      <c r="C7" s="28" t="str">
        <f t="shared" si="0"/>
        <v>ISO 10694 Determination of organic and total carbon after dry combustion, ensuring all carbon is incinerated
 SOC shall be calculated by determining the total carbon content and subtracting the carbon present as carbonate, which shall be determined in accordance with ISO 10693</v>
      </c>
      <c r="D7" s="13" t="s">
        <v>153</v>
      </c>
      <c r="E7" s="13" t="s">
        <v>143</v>
      </c>
      <c r="R7" s="12"/>
      <c r="S7" s="23" t="s">
        <v>310</v>
      </c>
      <c r="T7" s="23"/>
      <c r="U7" s="26" t="s">
        <v>311</v>
      </c>
      <c r="V7" s="23"/>
      <c r="W7" s="23" t="s">
        <v>302</v>
      </c>
      <c r="X7" s="23"/>
      <c r="Y7" s="23"/>
      <c r="Z7" s="23"/>
    </row>
    <row r="8" spans="1:26" ht="60">
      <c r="A8" s="12" t="s">
        <v>362</v>
      </c>
      <c r="B8" s="12" t="s">
        <v>344</v>
      </c>
      <c r="C8" s="28" t="str">
        <f t="shared" si="0"/>
        <v>Methodology as set out in Annex V to Regulation (EU) 2018/1999 in accordance with the 2006 IPCC Guidelines for National Greenhouse Gas Inventories</v>
      </c>
      <c r="D8" s="13" t="s">
        <v>146</v>
      </c>
      <c r="R8" s="12"/>
      <c r="S8" s="23" t="s">
        <v>312</v>
      </c>
      <c r="T8" s="23"/>
      <c r="U8" s="26" t="s">
        <v>313</v>
      </c>
      <c r="V8" s="23"/>
      <c r="W8" s="23" t="s">
        <v>302</v>
      </c>
      <c r="X8" s="23"/>
      <c r="Y8" s="23"/>
      <c r="Z8" s="23"/>
    </row>
    <row r="9" spans="1:26" ht="60">
      <c r="A9" s="12" t="s">
        <v>362</v>
      </c>
      <c r="B9" s="12" t="s">
        <v>353</v>
      </c>
      <c r="C9" s="28" t="str">
        <f t="shared" si="0"/>
        <v>ISO 11263 for spectrometric determination of phosphorus soluble in sodium hydrogen carbonate solution (P-Olsen)
Other methods may be used as an alternative</v>
      </c>
      <c r="D9" s="13" t="s">
        <v>142</v>
      </c>
      <c r="R9" s="12"/>
      <c r="S9" s="23" t="s">
        <v>316</v>
      </c>
      <c r="T9" s="23"/>
      <c r="U9" s="26" t="s">
        <v>345</v>
      </c>
      <c r="V9" s="23"/>
      <c r="W9" s="23" t="s">
        <v>302</v>
      </c>
      <c r="X9" s="23" t="s">
        <v>317</v>
      </c>
      <c r="Y9" s="23"/>
      <c r="Z9" s="23"/>
    </row>
    <row r="10" spans="1:26" ht="25.5">
      <c r="A10" s="12" t="s">
        <v>362</v>
      </c>
      <c r="B10" s="22" t="s">
        <v>354</v>
      </c>
      <c r="C10" s="28" t="str">
        <f t="shared" si="0"/>
        <v>ISO 54321: Aqua Regia
Optional: bioavailable fractions of contaminants, such as ISO 17586 using dilute nitric acid</v>
      </c>
      <c r="D10" s="22" t="s">
        <v>161</v>
      </c>
      <c r="E10" s="22" t="s">
        <v>163</v>
      </c>
      <c r="F10" s="22" t="s">
        <v>165</v>
      </c>
      <c r="G10" s="22" t="s">
        <v>167</v>
      </c>
      <c r="H10" s="22" t="s">
        <v>169</v>
      </c>
      <c r="I10" s="22" t="s">
        <v>171</v>
      </c>
      <c r="J10" s="22" t="s">
        <v>173</v>
      </c>
      <c r="K10" s="22" t="s">
        <v>175</v>
      </c>
      <c r="L10" s="22" t="s">
        <v>177</v>
      </c>
      <c r="M10" s="22" t="s">
        <v>179</v>
      </c>
      <c r="N10" s="22" t="s">
        <v>181</v>
      </c>
      <c r="O10" t="s">
        <v>183</v>
      </c>
      <c r="S10" s="23" t="s">
        <v>318</v>
      </c>
      <c r="U10" s="26" t="s">
        <v>319</v>
      </c>
      <c r="V10" s="23"/>
      <c r="W10" s="23" t="s">
        <v>302</v>
      </c>
      <c r="X10" s="23" t="s">
        <v>320</v>
      </c>
    </row>
    <row r="11" spans="1:26" ht="30">
      <c r="A11" s="12" t="s">
        <v>362</v>
      </c>
      <c r="B11" s="22" t="s">
        <v>355</v>
      </c>
      <c r="C11" s="28" t="str">
        <f t="shared" si="0"/>
        <v>bioavailable fractions of contaminants, such as ISO 17586 using dilute nitric acid</v>
      </c>
      <c r="D11" s="22" t="s">
        <v>161</v>
      </c>
      <c r="E11" s="22" t="s">
        <v>163</v>
      </c>
      <c r="F11" s="22" t="s">
        <v>165</v>
      </c>
      <c r="G11" s="22" t="s">
        <v>167</v>
      </c>
      <c r="H11" s="22" t="s">
        <v>169</v>
      </c>
      <c r="I11" s="22" t="s">
        <v>171</v>
      </c>
      <c r="J11" s="22" t="s">
        <v>173</v>
      </c>
      <c r="K11" s="22" t="s">
        <v>175</v>
      </c>
      <c r="L11" s="22" t="s">
        <v>177</v>
      </c>
      <c r="M11" s="22" t="s">
        <v>179</v>
      </c>
      <c r="N11" s="22" t="s">
        <v>181</v>
      </c>
      <c r="O11" t="s">
        <v>183</v>
      </c>
      <c r="S11" s="23" t="s">
        <v>318</v>
      </c>
      <c r="U11" s="26" t="s">
        <v>346</v>
      </c>
      <c r="V11" s="23"/>
      <c r="W11" s="23"/>
      <c r="X11" s="23"/>
    </row>
    <row r="12" spans="1:26" ht="76.5">
      <c r="A12" s="12" t="s">
        <v>362</v>
      </c>
      <c r="B12" s="12" t="s">
        <v>356</v>
      </c>
      <c r="C12" s="28" t="str">
        <f t="shared" si="0"/>
        <v>LABORATORY: ISO 11274 for determination of the water-retention characteristic
— for the area of soil not sealed or areas that did not undergo soil removal, estimate the total value of soil water holding capacity, air capacity and saturated hydraulic conductivity
 — for the area of sealed and removed soils, consider setting the water holding capacity, air capacity and saturated hydraulic conductivity of impervious areas to zero, attributing proportionately intermediate values to semi-impervious and other artificial areas</v>
      </c>
      <c r="D12" s="13" t="s">
        <v>154</v>
      </c>
      <c r="E12" s="13" t="s">
        <v>156</v>
      </c>
      <c r="F12" s="13" t="s">
        <v>157</v>
      </c>
      <c r="G12" s="12"/>
      <c r="H12" s="12"/>
      <c r="I12" s="12"/>
      <c r="J12" s="12"/>
      <c r="K12" s="12"/>
      <c r="L12" s="12"/>
      <c r="M12" s="12"/>
      <c r="N12" s="12"/>
      <c r="O12" s="12"/>
      <c r="R12" s="12"/>
      <c r="S12" s="23" t="s">
        <v>321</v>
      </c>
      <c r="T12" s="23" t="s">
        <v>322</v>
      </c>
      <c r="U12" s="26" t="s">
        <v>336</v>
      </c>
      <c r="V12" s="23" t="s">
        <v>323</v>
      </c>
      <c r="W12" s="23" t="s">
        <v>324</v>
      </c>
      <c r="Y12" s="23"/>
      <c r="Z12" s="23"/>
    </row>
    <row r="13" spans="1:26" ht="89.25">
      <c r="A13" s="12" t="s">
        <v>362</v>
      </c>
      <c r="B13" s="12" t="s">
        <v>347</v>
      </c>
      <c r="C13" s="28" t="str">
        <f t="shared" si="0"/>
        <v>ESTIMATION: apply pedotransfer functions requiring input variables such as particle size distribution, bulk density, soil organic carbon concentration
— for the area of soil not sealed or areas that did not undergo soil removal, estimate the total value of soil water holding capacity, air capacity and saturated hydraulic conductivity
 — for the area of sealed and removed soils, consider setting the water holding capacity, air capacity and saturated hydraulic conductivity of impervious areas to zero, attributing proportionately intermediate values to semi-impervious and other artificial areas</v>
      </c>
      <c r="D13" s="13" t="s">
        <v>154</v>
      </c>
      <c r="E13" s="13" t="s">
        <v>156</v>
      </c>
      <c r="F13" s="13" t="s">
        <v>157</v>
      </c>
      <c r="G13" s="12"/>
      <c r="H13" s="12"/>
      <c r="I13" s="12"/>
      <c r="J13" s="12"/>
      <c r="K13" s="12"/>
      <c r="L13" s="12"/>
      <c r="M13" s="12"/>
      <c r="N13" s="12"/>
      <c r="O13" s="12"/>
      <c r="R13" s="12"/>
      <c r="S13" s="23" t="s">
        <v>321</v>
      </c>
      <c r="T13" s="23" t="s">
        <v>322</v>
      </c>
      <c r="U13" s="26" t="s">
        <v>337</v>
      </c>
      <c r="V13" s="23" t="s">
        <v>323</v>
      </c>
      <c r="W13" s="23" t="s">
        <v>324</v>
      </c>
      <c r="Y13" s="23"/>
      <c r="Z13" s="23"/>
    </row>
    <row r="14" spans="1:26" ht="76.5">
      <c r="A14" s="12" t="s">
        <v>362</v>
      </c>
      <c r="B14" s="12" t="s">
        <v>357</v>
      </c>
      <c r="C14" s="28" t="str">
        <f t="shared" si="0"/>
        <v>LABORATORY: ISO 17313: Determination of hydraulic conductivity of saturated porous materials
— for the area of soil not sealed or areas that did not undergo soil removal, estimate the total value of soil water holding capacity, air capacity and saturated hydraulic conductivity
 — for the area of sealed and removed soils, consider setting the water holding capacity, air capacity and saturated hydraulic conductivity of impervious areas to zero, attributing proportionately intermediate values to semi-impervious and other artificial areas</v>
      </c>
      <c r="D14" s="13" t="s">
        <v>155</v>
      </c>
      <c r="R14" s="12"/>
      <c r="S14" s="23" t="s">
        <v>321</v>
      </c>
      <c r="T14" s="23" t="s">
        <v>325</v>
      </c>
      <c r="U14" s="26" t="s">
        <v>338</v>
      </c>
      <c r="V14" s="23" t="s">
        <v>323</v>
      </c>
      <c r="W14" s="23" t="s">
        <v>324</v>
      </c>
      <c r="Y14" s="23"/>
      <c r="Z14" s="23"/>
    </row>
    <row r="15" spans="1:26" ht="89.25">
      <c r="A15" s="12" t="s">
        <v>362</v>
      </c>
      <c r="B15" s="12" t="s">
        <v>348</v>
      </c>
      <c r="C15" s="28" t="str">
        <f t="shared" si="0"/>
        <v>ESTIMATION: apply pedotransfer functions requiring input variables such as particle size distribution, bulk density, soil organic carbon concentration
— for the area of soil not sealed or areas that did not undergo soil removal, estimate the total value of soil water holding capacity, air capacity and saturated hydraulic conductivity
 — for the area of sealed and removed soils, consider setting the water holding capacity, air capacity and saturated hydraulic conductivity of impervious areas to zero, attributing proportionately intermediate values to semi-impervious and other artificial areas</v>
      </c>
      <c r="D15" s="13" t="s">
        <v>155</v>
      </c>
      <c r="R15" s="12"/>
      <c r="S15" s="23" t="s">
        <v>321</v>
      </c>
      <c r="T15" s="23" t="s">
        <v>325</v>
      </c>
      <c r="U15" s="26" t="s">
        <v>337</v>
      </c>
      <c r="V15" s="23" t="s">
        <v>323</v>
      </c>
      <c r="W15" s="23" t="s">
        <v>324</v>
      </c>
      <c r="Y15" s="23"/>
      <c r="Z15" s="23"/>
    </row>
    <row r="16" spans="1:26" ht="45">
      <c r="A16" s="12" t="s">
        <v>362</v>
      </c>
      <c r="B16" s="12" t="s">
        <v>358</v>
      </c>
      <c r="C16" s="28" t="str">
        <f t="shared" si="0"/>
        <v>ISO 11261 for determination of total soil nitrogen using a modified Kjeldahl method</v>
      </c>
      <c r="D16" s="13" t="s">
        <v>144</v>
      </c>
      <c r="E16" s="13" t="s">
        <v>143</v>
      </c>
      <c r="R16" s="12"/>
      <c r="S16" s="23" t="s">
        <v>326</v>
      </c>
      <c r="T16" s="23"/>
      <c r="U16" s="26" t="s">
        <v>339</v>
      </c>
      <c r="V16" s="23"/>
      <c r="W16" s="23" t="s">
        <v>302</v>
      </c>
      <c r="X16" s="23"/>
      <c r="Y16" s="23"/>
      <c r="Z16" s="23"/>
    </row>
    <row r="17" spans="1:26" ht="30">
      <c r="A17" s="12" t="s">
        <v>362</v>
      </c>
      <c r="B17" s="12" t="s">
        <v>359</v>
      </c>
      <c r="C17" s="28" t="str">
        <f t="shared" si="0"/>
        <v>ISO 13878 for determination of total nitrogen by dry combustion</v>
      </c>
      <c r="D17" s="13" t="s">
        <v>144</v>
      </c>
      <c r="E17" s="13" t="s">
        <v>143</v>
      </c>
      <c r="R17" s="12"/>
      <c r="S17" s="23" t="s">
        <v>326</v>
      </c>
      <c r="T17" s="23"/>
      <c r="U17" s="26" t="s">
        <v>340</v>
      </c>
      <c r="V17" s="23"/>
      <c r="W17" s="23" t="s">
        <v>302</v>
      </c>
      <c r="X17" s="23"/>
      <c r="Y17" s="23"/>
      <c r="Z17" s="23"/>
    </row>
    <row r="18" spans="1:26" ht="30">
      <c r="A18" s="12" t="s">
        <v>362</v>
      </c>
      <c r="B18" s="12" t="s">
        <v>360</v>
      </c>
      <c r="C18" s="28" t="str">
        <f t="shared" si="0"/>
        <v>ISO 10390 for determination of pH in H2O, KCl and CaCl2 extract</v>
      </c>
      <c r="D18" s="13" t="s">
        <v>141</v>
      </c>
      <c r="R18" s="12"/>
      <c r="S18" s="23" t="s">
        <v>327</v>
      </c>
      <c r="T18" s="23"/>
      <c r="U18" s="26" t="s">
        <v>328</v>
      </c>
      <c r="V18" s="23"/>
      <c r="W18" s="23" t="s">
        <v>302</v>
      </c>
      <c r="X18" s="23"/>
      <c r="Y18" s="23"/>
      <c r="Z18" s="23"/>
    </row>
    <row r="19" spans="1:26" ht="45">
      <c r="A19" s="12" t="s">
        <v>362</v>
      </c>
      <c r="B19" s="12" t="s">
        <v>361</v>
      </c>
      <c r="C19" s="28" t="str">
        <f t="shared" si="0"/>
        <v>ISO 11260 for determination of effective cation exchange capacity and base saturation level using BaCl2</v>
      </c>
      <c r="D19" s="13" t="s">
        <v>140</v>
      </c>
      <c r="R19" s="12"/>
      <c r="S19" s="23" t="s">
        <v>329</v>
      </c>
      <c r="U19" s="26" t="s">
        <v>330</v>
      </c>
      <c r="V19" s="23"/>
      <c r="W19" s="23" t="s">
        <v>302</v>
      </c>
      <c r="X19" s="23"/>
      <c r="Y19" s="23"/>
      <c r="Z19" s="23"/>
    </row>
    <row r="20" spans="1:26" ht="51">
      <c r="A20" s="12" t="s">
        <v>362</v>
      </c>
      <c r="B20" s="12" t="s">
        <v>352</v>
      </c>
      <c r="C20" s="28" t="str">
        <f t="shared" si="0"/>
        <v>ISO 11272 for determination of dry bulk density
Methodology may be refined depending on the proportion of coarse fragments
As defined in the FAO Guidelines for Soil Description, Chapter 5 (https://www.fao.org/3/a0541e/a0541e.pdf)</v>
      </c>
      <c r="D20" s="13" t="s">
        <v>236</v>
      </c>
      <c r="E20" s="13" t="s">
        <v>235</v>
      </c>
      <c r="R20" s="12"/>
      <c r="S20" s="23" t="s">
        <v>331</v>
      </c>
      <c r="T20" s="23"/>
      <c r="U20" s="26" t="s">
        <v>314</v>
      </c>
      <c r="V20" s="23" t="s">
        <v>315</v>
      </c>
      <c r="W20" s="23" t="s">
        <v>302</v>
      </c>
      <c r="X20" s="23"/>
      <c r="Y20" s="24">
        <v>2</v>
      </c>
      <c r="Z20" s="23" t="s">
        <v>83</v>
      </c>
    </row>
  </sheetData>
  <autoFilter ref="V1:V20" xr:uid="{47E1CEA7-AF3C-400E-9EBB-EA7931D76576}"/>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7F7B7-C5ED-4CA0-A769-E1DCDC2AA0D0}">
  <sheetPr>
    <outlinePr summaryBelow="0" summaryRight="0"/>
  </sheetPr>
  <dimension ref="A1:K59"/>
  <sheetViews>
    <sheetView topLeftCell="A19" workbookViewId="0">
      <selection activeCell="A44" activeCellId="3" sqref="A2 A13 A23 A44"/>
    </sheetView>
  </sheetViews>
  <sheetFormatPr defaultColWidth="12.5703125" defaultRowHeight="15.75" customHeight="1"/>
  <cols>
    <col min="1" max="2" width="8.42578125" customWidth="1"/>
    <col min="3" max="3" width="24.5703125" customWidth="1"/>
    <col min="4" max="4" width="4.7109375" customWidth="1"/>
    <col min="5" max="5" width="38.42578125" customWidth="1"/>
    <col min="6" max="6" width="22.42578125" customWidth="1"/>
    <col min="7" max="7" width="44.42578125" customWidth="1"/>
    <col min="8" max="8" width="43" customWidth="1"/>
    <col min="10" max="10" width="8.42578125" customWidth="1"/>
  </cols>
  <sheetData>
    <row r="1" spans="1:11" ht="15.75" customHeight="1">
      <c r="A1" s="1" t="s">
        <v>0</v>
      </c>
      <c r="B1" s="1"/>
      <c r="C1" s="1" t="s">
        <v>1</v>
      </c>
      <c r="D1" s="1" t="s">
        <v>2</v>
      </c>
      <c r="E1" s="1" t="s">
        <v>3</v>
      </c>
      <c r="F1" s="1" t="s">
        <v>4</v>
      </c>
      <c r="G1" s="1" t="s">
        <v>5</v>
      </c>
      <c r="H1" s="1" t="s">
        <v>6</v>
      </c>
      <c r="I1" s="1" t="s">
        <v>7</v>
      </c>
      <c r="J1" s="1" t="s">
        <v>8</v>
      </c>
      <c r="K1" s="1" t="s">
        <v>9</v>
      </c>
    </row>
    <row r="2" spans="1:11" ht="15.75" customHeight="1">
      <c r="A2" s="2" t="s">
        <v>10</v>
      </c>
      <c r="B2" s="2"/>
      <c r="C2" s="2"/>
      <c r="D2" s="2"/>
      <c r="E2" s="2"/>
      <c r="F2" s="2"/>
      <c r="G2" s="2"/>
      <c r="H2" s="2"/>
      <c r="I2" s="2"/>
      <c r="J2" s="2"/>
      <c r="K2" s="2"/>
    </row>
    <row r="3" spans="1:11" ht="15.75" customHeight="1">
      <c r="A3" s="2"/>
      <c r="B3" s="2" t="s">
        <v>123</v>
      </c>
      <c r="C3" s="2" t="s">
        <v>11</v>
      </c>
      <c r="D3" s="2"/>
      <c r="E3" s="2" t="s">
        <v>12</v>
      </c>
      <c r="F3" s="3" t="s">
        <v>13</v>
      </c>
      <c r="G3" s="2" t="s">
        <v>14</v>
      </c>
      <c r="H3" s="34" t="s">
        <v>15</v>
      </c>
      <c r="I3" s="35"/>
      <c r="J3" s="35"/>
      <c r="K3" s="35"/>
    </row>
    <row r="4" spans="1:11" ht="15.75" customHeight="1">
      <c r="A4" s="2"/>
      <c r="B4" s="2" t="s">
        <v>123</v>
      </c>
      <c r="C4" s="34" t="s">
        <v>16</v>
      </c>
      <c r="D4" s="35"/>
      <c r="E4" s="2" t="s">
        <v>17</v>
      </c>
      <c r="F4" s="3" t="s">
        <v>18</v>
      </c>
      <c r="G4" s="2" t="s">
        <v>19</v>
      </c>
      <c r="H4" s="2" t="s">
        <v>20</v>
      </c>
      <c r="I4" s="2"/>
      <c r="J4" s="2"/>
      <c r="K4" s="2"/>
    </row>
    <row r="5" spans="1:11" ht="15.75" customHeight="1">
      <c r="A5" s="2"/>
      <c r="B5" s="2" t="s">
        <v>123</v>
      </c>
      <c r="C5" s="34" t="s">
        <v>16</v>
      </c>
      <c r="D5" s="35"/>
      <c r="E5" s="2" t="s">
        <v>17</v>
      </c>
      <c r="F5" s="3" t="s">
        <v>18</v>
      </c>
      <c r="G5" s="2" t="s">
        <v>21</v>
      </c>
      <c r="H5" s="2" t="s">
        <v>22</v>
      </c>
      <c r="I5" s="2"/>
      <c r="J5" s="2"/>
      <c r="K5" s="2"/>
    </row>
    <row r="6" spans="1:11" ht="15.75" customHeight="1">
      <c r="A6" s="2"/>
      <c r="B6" s="2" t="s">
        <v>123</v>
      </c>
      <c r="C6" s="2" t="s">
        <v>23</v>
      </c>
      <c r="D6" s="2"/>
      <c r="E6" s="2" t="s">
        <v>24</v>
      </c>
      <c r="F6" s="3" t="s">
        <v>25</v>
      </c>
      <c r="G6" s="2" t="s">
        <v>26</v>
      </c>
      <c r="H6" s="2" t="s">
        <v>27</v>
      </c>
      <c r="I6" s="2" t="s">
        <v>28</v>
      </c>
      <c r="J6" s="2" t="s">
        <v>29</v>
      </c>
      <c r="K6" s="2" t="s">
        <v>30</v>
      </c>
    </row>
    <row r="7" spans="1:11" ht="15.75" customHeight="1">
      <c r="A7" s="2"/>
      <c r="B7" s="2" t="s">
        <v>123</v>
      </c>
      <c r="C7" s="2" t="s">
        <v>23</v>
      </c>
      <c r="D7" s="2"/>
      <c r="E7" s="2" t="s">
        <v>24</v>
      </c>
      <c r="F7" s="3" t="s">
        <v>25</v>
      </c>
      <c r="G7" s="2" t="s">
        <v>31</v>
      </c>
      <c r="H7" s="2" t="s">
        <v>27</v>
      </c>
      <c r="I7" s="2" t="s">
        <v>28</v>
      </c>
      <c r="J7" s="4">
        <v>4</v>
      </c>
      <c r="K7" s="2" t="s">
        <v>32</v>
      </c>
    </row>
    <row r="8" spans="1:11" ht="15.75" customHeight="1">
      <c r="A8" s="2"/>
      <c r="B8" s="2" t="s">
        <v>123</v>
      </c>
      <c r="C8" s="2" t="s">
        <v>23</v>
      </c>
      <c r="D8" s="2"/>
      <c r="E8" s="2" t="s">
        <v>24</v>
      </c>
      <c r="F8" s="3" t="s">
        <v>25</v>
      </c>
      <c r="G8" s="2" t="s">
        <v>33</v>
      </c>
      <c r="H8" s="2" t="s">
        <v>27</v>
      </c>
      <c r="I8" s="2" t="s">
        <v>28</v>
      </c>
      <c r="J8" s="4">
        <v>4</v>
      </c>
      <c r="K8" s="2" t="s">
        <v>32</v>
      </c>
    </row>
    <row r="9" spans="1:11" ht="15.75" customHeight="1">
      <c r="A9" s="2"/>
      <c r="B9" s="2" t="s">
        <v>123</v>
      </c>
      <c r="C9" s="2" t="s">
        <v>23</v>
      </c>
      <c r="D9" s="2"/>
      <c r="E9" s="2" t="s">
        <v>24</v>
      </c>
      <c r="F9" s="3" t="s">
        <v>25</v>
      </c>
      <c r="G9" s="2" t="s">
        <v>34</v>
      </c>
      <c r="H9" s="2" t="s">
        <v>27</v>
      </c>
      <c r="I9" s="2" t="s">
        <v>28</v>
      </c>
      <c r="J9" s="4">
        <v>4</v>
      </c>
      <c r="K9" s="2" t="s">
        <v>32</v>
      </c>
    </row>
    <row r="10" spans="1:11" ht="15.75" customHeight="1">
      <c r="A10" s="2"/>
      <c r="B10" s="2" t="s">
        <v>123</v>
      </c>
      <c r="C10" s="2" t="s">
        <v>23</v>
      </c>
      <c r="D10" s="2"/>
      <c r="E10" s="2" t="s">
        <v>24</v>
      </c>
      <c r="F10" s="3" t="s">
        <v>25</v>
      </c>
      <c r="G10" s="2" t="s">
        <v>35</v>
      </c>
      <c r="H10" s="2" t="s">
        <v>27</v>
      </c>
      <c r="I10" s="2" t="s">
        <v>28</v>
      </c>
      <c r="J10" s="4">
        <v>4</v>
      </c>
      <c r="K10" s="2" t="s">
        <v>32</v>
      </c>
    </row>
    <row r="11" spans="1:11" ht="15.75" customHeight="1">
      <c r="A11" s="2"/>
      <c r="B11" s="2" t="s">
        <v>123</v>
      </c>
      <c r="C11" s="2" t="s">
        <v>23</v>
      </c>
      <c r="D11" s="2" t="s">
        <v>36</v>
      </c>
      <c r="E11" s="2" t="s">
        <v>37</v>
      </c>
      <c r="F11" s="5" t="s">
        <v>38</v>
      </c>
      <c r="G11" s="2" t="s">
        <v>39</v>
      </c>
      <c r="H11" s="2" t="s">
        <v>27</v>
      </c>
      <c r="I11" s="2" t="s">
        <v>40</v>
      </c>
      <c r="J11" s="4">
        <v>5</v>
      </c>
      <c r="K11" s="2" t="s">
        <v>41</v>
      </c>
    </row>
    <row r="12" spans="1:11" ht="15.75" customHeight="1">
      <c r="A12" s="2"/>
      <c r="B12" s="2" t="s">
        <v>123</v>
      </c>
      <c r="C12" s="2" t="s">
        <v>23</v>
      </c>
      <c r="D12" s="2" t="s">
        <v>36</v>
      </c>
      <c r="E12" s="2" t="s">
        <v>42</v>
      </c>
      <c r="F12" s="3" t="s">
        <v>43</v>
      </c>
      <c r="G12" s="2" t="s">
        <v>44</v>
      </c>
      <c r="H12" s="2" t="s">
        <v>27</v>
      </c>
      <c r="I12" s="2" t="s">
        <v>40</v>
      </c>
      <c r="J12" s="4">
        <v>6</v>
      </c>
      <c r="K12" s="2" t="s">
        <v>41</v>
      </c>
    </row>
    <row r="13" spans="1:11" ht="15.75" customHeight="1">
      <c r="A13" s="2" t="s">
        <v>45</v>
      </c>
      <c r="B13" s="2"/>
      <c r="C13" s="2"/>
      <c r="D13" s="2"/>
      <c r="E13" s="2"/>
      <c r="F13" s="2"/>
      <c r="G13" s="2"/>
      <c r="H13" s="2"/>
      <c r="I13" s="2"/>
      <c r="J13" s="2"/>
      <c r="K13" s="2"/>
    </row>
    <row r="14" spans="1:11" ht="15.75" customHeight="1">
      <c r="A14" s="2"/>
      <c r="B14" s="2" t="s">
        <v>124</v>
      </c>
      <c r="C14" s="34" t="s">
        <v>46</v>
      </c>
      <c r="D14" s="35"/>
      <c r="E14" s="2" t="s">
        <v>47</v>
      </c>
      <c r="F14" s="3" t="s">
        <v>48</v>
      </c>
      <c r="G14" s="2" t="s">
        <v>49</v>
      </c>
      <c r="H14" s="2" t="s">
        <v>22</v>
      </c>
      <c r="I14" s="34" t="s">
        <v>50</v>
      </c>
      <c r="J14" s="35"/>
      <c r="K14" s="35"/>
    </row>
    <row r="15" spans="1:11" ht="15.75" customHeight="1">
      <c r="A15" s="2"/>
      <c r="B15" s="2" t="s">
        <v>124</v>
      </c>
      <c r="C15" s="2" t="s">
        <v>51</v>
      </c>
      <c r="D15" s="2"/>
      <c r="E15" s="2" t="s">
        <v>52</v>
      </c>
      <c r="F15" s="3" t="s">
        <v>53</v>
      </c>
      <c r="G15" s="2" t="s">
        <v>49</v>
      </c>
      <c r="H15" s="2" t="s">
        <v>54</v>
      </c>
      <c r="I15" s="34" t="s">
        <v>50</v>
      </c>
      <c r="J15" s="35"/>
      <c r="K15" s="35"/>
    </row>
    <row r="16" spans="1:11" ht="15.75" customHeight="1">
      <c r="A16" s="2"/>
      <c r="B16" s="2" t="s">
        <v>124</v>
      </c>
      <c r="C16" s="2" t="s">
        <v>55</v>
      </c>
      <c r="D16" s="2"/>
      <c r="E16" s="2" t="s">
        <v>56</v>
      </c>
      <c r="F16" s="3" t="s">
        <v>48</v>
      </c>
      <c r="G16" s="2" t="s">
        <v>57</v>
      </c>
      <c r="H16" s="2" t="s">
        <v>20</v>
      </c>
      <c r="I16" s="34" t="s">
        <v>58</v>
      </c>
      <c r="J16" s="35"/>
      <c r="K16" s="35"/>
    </row>
    <row r="17" spans="1:11" ht="15.75" customHeight="1">
      <c r="A17" s="2"/>
      <c r="B17" s="2" t="s">
        <v>124</v>
      </c>
      <c r="C17" s="2" t="s">
        <v>55</v>
      </c>
      <c r="D17" s="2"/>
      <c r="E17" s="2" t="s">
        <v>59</v>
      </c>
      <c r="F17" s="2"/>
      <c r="G17" s="2" t="s">
        <v>57</v>
      </c>
      <c r="H17" s="2" t="s">
        <v>20</v>
      </c>
      <c r="I17" s="34" t="s">
        <v>58</v>
      </c>
      <c r="J17" s="35"/>
      <c r="K17" s="35"/>
    </row>
    <row r="18" spans="1:11" ht="15.75" customHeight="1">
      <c r="A18" s="2"/>
      <c r="B18" s="2" t="s">
        <v>124</v>
      </c>
      <c r="C18" s="34" t="s">
        <v>60</v>
      </c>
      <c r="D18" s="35"/>
      <c r="E18" s="2" t="s">
        <v>61</v>
      </c>
      <c r="F18" s="5" t="s">
        <v>62</v>
      </c>
      <c r="G18" s="2" t="s">
        <v>63</v>
      </c>
      <c r="H18" s="2" t="s">
        <v>20</v>
      </c>
      <c r="I18" s="34" t="s">
        <v>64</v>
      </c>
      <c r="J18" s="35"/>
      <c r="K18" s="35"/>
    </row>
    <row r="19" spans="1:11" ht="15.75" customHeight="1">
      <c r="A19" s="2"/>
      <c r="B19" s="2" t="s">
        <v>124</v>
      </c>
      <c r="C19" s="34" t="s">
        <v>60</v>
      </c>
      <c r="D19" s="35"/>
      <c r="E19" s="2" t="s">
        <v>65</v>
      </c>
      <c r="F19" s="5" t="s">
        <v>38</v>
      </c>
      <c r="G19" s="2" t="s">
        <v>63</v>
      </c>
      <c r="H19" s="2" t="s">
        <v>20</v>
      </c>
      <c r="I19" s="34" t="s">
        <v>64</v>
      </c>
      <c r="J19" s="35"/>
      <c r="K19" s="35"/>
    </row>
    <row r="20" spans="1:11" ht="15.75" customHeight="1">
      <c r="A20" s="2"/>
      <c r="B20" s="2" t="s">
        <v>124</v>
      </c>
      <c r="C20" s="34" t="s">
        <v>60</v>
      </c>
      <c r="D20" s="35"/>
      <c r="E20" s="2" t="s">
        <v>66</v>
      </c>
      <c r="F20" s="3" t="s">
        <v>43</v>
      </c>
      <c r="G20" s="2" t="s">
        <v>63</v>
      </c>
      <c r="H20" s="2" t="s">
        <v>20</v>
      </c>
      <c r="I20" s="34" t="s">
        <v>64</v>
      </c>
      <c r="J20" s="35"/>
      <c r="K20" s="35"/>
    </row>
    <row r="21" spans="1:11" ht="15.75" customHeight="1">
      <c r="A21" s="2"/>
      <c r="B21" s="2" t="s">
        <v>124</v>
      </c>
      <c r="C21" s="2" t="s">
        <v>67</v>
      </c>
      <c r="D21" s="2"/>
      <c r="E21" s="2" t="s">
        <v>68</v>
      </c>
      <c r="F21" s="3" t="s">
        <v>69</v>
      </c>
      <c r="G21" s="2" t="s">
        <v>70</v>
      </c>
      <c r="H21" s="2" t="s">
        <v>20</v>
      </c>
      <c r="I21" s="34" t="s">
        <v>71</v>
      </c>
      <c r="J21" s="35"/>
      <c r="K21" s="35"/>
    </row>
    <row r="22" spans="1:11" ht="15.75" customHeight="1">
      <c r="A22" s="2"/>
      <c r="B22" s="2" t="s">
        <v>124</v>
      </c>
      <c r="C22" s="2" t="s">
        <v>67</v>
      </c>
      <c r="D22" s="2"/>
      <c r="E22" s="2" t="s">
        <v>72</v>
      </c>
      <c r="F22" s="3" t="s">
        <v>18</v>
      </c>
      <c r="G22" s="2" t="s">
        <v>70</v>
      </c>
      <c r="H22" s="2" t="s">
        <v>20</v>
      </c>
      <c r="I22" s="34" t="s">
        <v>71</v>
      </c>
      <c r="J22" s="35"/>
      <c r="K22" s="35"/>
    </row>
    <row r="23" spans="1:11" ht="15.75" customHeight="1">
      <c r="A23" s="2" t="s">
        <v>73</v>
      </c>
      <c r="B23" s="2"/>
      <c r="C23" s="2"/>
      <c r="D23" s="2"/>
      <c r="E23" s="2"/>
      <c r="F23" s="2"/>
      <c r="G23" s="2"/>
      <c r="H23" s="2"/>
      <c r="I23" s="2"/>
      <c r="J23" s="2"/>
      <c r="K23" s="2"/>
    </row>
    <row r="24" spans="1:11" ht="15.75" customHeight="1">
      <c r="A24" s="2"/>
      <c r="B24" s="2" t="s">
        <v>125</v>
      </c>
      <c r="C24" s="34" t="s">
        <v>46</v>
      </c>
      <c r="D24" s="35"/>
      <c r="E24" s="2" t="s">
        <v>74</v>
      </c>
      <c r="F24" s="3" t="s">
        <v>75</v>
      </c>
      <c r="G24" s="2"/>
      <c r="H24" s="2"/>
      <c r="I24" s="2"/>
      <c r="J24" s="2"/>
      <c r="K24" s="2"/>
    </row>
    <row r="25" spans="1:11" ht="15.75" customHeight="1">
      <c r="A25" s="2"/>
      <c r="B25" s="2" t="s">
        <v>125</v>
      </c>
      <c r="C25" s="34" t="s">
        <v>46</v>
      </c>
      <c r="D25" s="35"/>
      <c r="E25" s="2" t="s">
        <v>76</v>
      </c>
      <c r="F25" s="3" t="s">
        <v>43</v>
      </c>
      <c r="G25" s="2"/>
      <c r="H25" s="2"/>
      <c r="I25" s="2"/>
      <c r="J25" s="2"/>
      <c r="K25" s="2"/>
    </row>
    <row r="26" spans="1:11" ht="15.75" customHeight="1">
      <c r="A26" s="2"/>
      <c r="B26" s="2" t="s">
        <v>125</v>
      </c>
      <c r="C26" s="2" t="s">
        <v>77</v>
      </c>
      <c r="D26" s="2"/>
      <c r="E26" s="2" t="s">
        <v>78</v>
      </c>
      <c r="F26" s="3" t="s">
        <v>79</v>
      </c>
      <c r="G26" s="2"/>
      <c r="H26" s="2"/>
      <c r="I26" s="2"/>
      <c r="J26" s="2"/>
      <c r="K26" s="2"/>
    </row>
    <row r="27" spans="1:11" ht="15.75" customHeight="1">
      <c r="A27" s="2"/>
      <c r="B27" s="2" t="s">
        <v>125</v>
      </c>
      <c r="C27" s="2" t="s">
        <v>77</v>
      </c>
      <c r="D27" s="2" t="s">
        <v>36</v>
      </c>
      <c r="E27" s="2" t="s">
        <v>80</v>
      </c>
      <c r="F27" s="2"/>
      <c r="G27" s="2"/>
      <c r="H27" s="2"/>
      <c r="I27" s="2"/>
      <c r="J27" s="2"/>
      <c r="K27" s="2"/>
    </row>
    <row r="28" spans="1:11" ht="15.75" customHeight="1">
      <c r="A28" s="2"/>
      <c r="B28" s="2" t="s">
        <v>125</v>
      </c>
      <c r="C28" s="2" t="s">
        <v>81</v>
      </c>
      <c r="D28" s="2"/>
      <c r="E28" s="2" t="s">
        <v>82</v>
      </c>
      <c r="F28" s="3" t="s">
        <v>25</v>
      </c>
      <c r="G28" s="2"/>
      <c r="H28" s="2"/>
      <c r="I28" s="2"/>
      <c r="J28" s="4">
        <v>7</v>
      </c>
      <c r="K28" s="2" t="s">
        <v>83</v>
      </c>
    </row>
    <row r="29" spans="1:11" ht="15.75" customHeight="1">
      <c r="A29" s="2"/>
      <c r="B29" s="2" t="s">
        <v>125</v>
      </c>
      <c r="C29" s="2" t="s">
        <v>81</v>
      </c>
      <c r="D29" s="2"/>
      <c r="E29" s="2" t="s">
        <v>84</v>
      </c>
      <c r="F29" s="5" t="s">
        <v>38</v>
      </c>
      <c r="G29" s="2"/>
      <c r="H29" s="2"/>
      <c r="I29" s="2"/>
      <c r="J29" s="2"/>
      <c r="K29" s="2"/>
    </row>
    <row r="30" spans="1:11" ht="15.75" customHeight="1">
      <c r="A30" s="2"/>
      <c r="B30" s="2" t="s">
        <v>125</v>
      </c>
      <c r="C30" s="2" t="s">
        <v>81</v>
      </c>
      <c r="D30" s="2"/>
      <c r="E30" s="2" t="s">
        <v>42</v>
      </c>
      <c r="F30" s="3" t="s">
        <v>43</v>
      </c>
      <c r="G30" s="2"/>
      <c r="H30" s="2"/>
      <c r="I30" s="2"/>
      <c r="J30" s="2"/>
      <c r="K30" s="2"/>
    </row>
    <row r="31" spans="1:11" ht="15.75" customHeight="1">
      <c r="A31" s="2"/>
      <c r="B31" s="2" t="s">
        <v>125</v>
      </c>
      <c r="C31" s="2" t="s">
        <v>85</v>
      </c>
      <c r="D31" s="2"/>
      <c r="E31" s="2" t="s">
        <v>86</v>
      </c>
      <c r="F31" s="2"/>
      <c r="G31" s="2"/>
      <c r="H31" s="2"/>
      <c r="I31" s="2"/>
      <c r="J31" s="2"/>
      <c r="K31" s="2"/>
    </row>
    <row r="32" spans="1:11" ht="15.75" customHeight="1">
      <c r="A32" s="2"/>
      <c r="B32" s="2" t="s">
        <v>125</v>
      </c>
      <c r="C32" s="2" t="s">
        <v>85</v>
      </c>
      <c r="D32" s="2"/>
      <c r="E32" s="2" t="s">
        <v>87</v>
      </c>
      <c r="F32" s="2"/>
      <c r="G32" s="2"/>
      <c r="H32" s="2"/>
      <c r="I32" s="2"/>
      <c r="J32" s="2"/>
      <c r="K32" s="2"/>
    </row>
    <row r="33" spans="1:11" ht="15.75" customHeight="1">
      <c r="A33" s="2"/>
      <c r="B33" s="2" t="s">
        <v>125</v>
      </c>
      <c r="C33" s="2" t="s">
        <v>85</v>
      </c>
      <c r="D33" s="2"/>
      <c r="E33" s="2" t="s">
        <v>88</v>
      </c>
      <c r="F33" s="2"/>
      <c r="G33" s="2"/>
      <c r="H33" s="2"/>
      <c r="I33" s="2"/>
      <c r="J33" s="2"/>
      <c r="K33" s="2"/>
    </row>
    <row r="34" spans="1:11" ht="15.75" customHeight="1">
      <c r="A34" s="2"/>
      <c r="B34" s="2" t="s">
        <v>125</v>
      </c>
      <c r="C34" s="2" t="s">
        <v>85</v>
      </c>
      <c r="D34" s="2"/>
      <c r="E34" s="2" t="s">
        <v>89</v>
      </c>
      <c r="F34" s="2"/>
      <c r="G34" s="2"/>
      <c r="H34" s="2"/>
      <c r="I34" s="2"/>
      <c r="J34" s="2"/>
      <c r="K34" s="2"/>
    </row>
    <row r="35" spans="1:11" ht="15.75" customHeight="1">
      <c r="A35" s="2"/>
      <c r="B35" s="2" t="s">
        <v>125</v>
      </c>
      <c r="C35" s="2" t="s">
        <v>85</v>
      </c>
      <c r="D35" s="2"/>
      <c r="E35" s="2" t="s">
        <v>90</v>
      </c>
      <c r="F35" s="2"/>
      <c r="G35" s="2"/>
      <c r="H35" s="2"/>
      <c r="I35" s="2"/>
      <c r="J35" s="2"/>
      <c r="K35" s="2"/>
    </row>
    <row r="36" spans="1:11" ht="15">
      <c r="A36" s="2"/>
      <c r="B36" s="2" t="s">
        <v>125</v>
      </c>
      <c r="C36" s="2" t="s">
        <v>85</v>
      </c>
      <c r="D36" s="2"/>
      <c r="E36" s="2" t="s">
        <v>91</v>
      </c>
      <c r="F36" s="2"/>
      <c r="G36" s="2"/>
      <c r="H36" s="2"/>
      <c r="I36" s="2"/>
      <c r="J36" s="2"/>
      <c r="K36" s="2"/>
    </row>
    <row r="37" spans="1:11" ht="15">
      <c r="A37" s="2"/>
      <c r="B37" s="2" t="s">
        <v>125</v>
      </c>
      <c r="C37" s="2" t="s">
        <v>85</v>
      </c>
      <c r="D37" s="2"/>
      <c r="E37" s="2" t="s">
        <v>92</v>
      </c>
      <c r="F37" s="2"/>
      <c r="G37" s="2"/>
      <c r="H37" s="2"/>
      <c r="I37" s="2"/>
      <c r="J37" s="2"/>
      <c r="K37" s="2"/>
    </row>
    <row r="38" spans="1:11" ht="15">
      <c r="A38" s="2"/>
      <c r="B38" s="2" t="s">
        <v>125</v>
      </c>
      <c r="C38" s="2" t="s">
        <v>85</v>
      </c>
      <c r="D38" s="2"/>
      <c r="E38" s="2" t="s">
        <v>93</v>
      </c>
      <c r="F38" s="2"/>
      <c r="G38" s="2"/>
      <c r="H38" s="2"/>
      <c r="I38" s="2"/>
      <c r="J38" s="2"/>
      <c r="K38" s="2"/>
    </row>
    <row r="39" spans="1:11" ht="15">
      <c r="A39" s="2"/>
      <c r="B39" s="2" t="s">
        <v>125</v>
      </c>
      <c r="C39" s="2" t="s">
        <v>85</v>
      </c>
      <c r="D39" s="2"/>
      <c r="E39" s="2" t="s">
        <v>94</v>
      </c>
      <c r="F39" s="2"/>
      <c r="G39" s="2"/>
      <c r="H39" s="2"/>
      <c r="I39" s="2"/>
      <c r="J39" s="2"/>
      <c r="K39" s="2"/>
    </row>
    <row r="40" spans="1:11" ht="15">
      <c r="A40" s="2"/>
      <c r="B40" s="2" t="s">
        <v>125</v>
      </c>
      <c r="C40" s="2" t="s">
        <v>85</v>
      </c>
      <c r="D40" s="2"/>
      <c r="E40" s="2" t="s">
        <v>95</v>
      </c>
      <c r="F40" s="2"/>
      <c r="G40" s="2"/>
      <c r="H40" s="2"/>
      <c r="I40" s="2"/>
      <c r="J40" s="2"/>
      <c r="K40" s="2"/>
    </row>
    <row r="41" spans="1:11" ht="15">
      <c r="A41" s="2"/>
      <c r="B41" s="2" t="s">
        <v>125</v>
      </c>
      <c r="C41" s="2" t="s">
        <v>55</v>
      </c>
      <c r="D41" s="2"/>
      <c r="E41" s="2" t="s">
        <v>96</v>
      </c>
      <c r="F41" s="2"/>
      <c r="G41" s="2"/>
      <c r="H41" s="2"/>
      <c r="I41" s="2"/>
      <c r="J41" s="6">
        <v>40429</v>
      </c>
      <c r="K41" s="2" t="s">
        <v>97</v>
      </c>
    </row>
    <row r="42" spans="1:11" ht="15">
      <c r="A42" s="2"/>
      <c r="B42" s="2" t="s">
        <v>125</v>
      </c>
      <c r="C42" s="2" t="s">
        <v>55</v>
      </c>
      <c r="D42" s="2"/>
      <c r="E42" s="2" t="s">
        <v>98</v>
      </c>
      <c r="F42" s="2"/>
      <c r="G42" s="2"/>
      <c r="H42" s="2"/>
      <c r="I42" s="2"/>
      <c r="J42" s="4">
        <v>8</v>
      </c>
      <c r="K42" s="2" t="s">
        <v>99</v>
      </c>
    </row>
    <row r="43" spans="1:11" ht="15">
      <c r="A43" s="2"/>
      <c r="B43" s="2" t="s">
        <v>125</v>
      </c>
      <c r="C43" s="2" t="s">
        <v>55</v>
      </c>
      <c r="D43" s="2" t="s">
        <v>36</v>
      </c>
      <c r="E43" s="2" t="s">
        <v>100</v>
      </c>
      <c r="F43" s="2"/>
      <c r="G43" s="2"/>
      <c r="H43" s="2"/>
      <c r="I43" s="2"/>
      <c r="J43" s="4">
        <v>8</v>
      </c>
      <c r="K43" s="2" t="s">
        <v>99</v>
      </c>
    </row>
    <row r="44" spans="1:11" ht="15">
      <c r="A44" s="2" t="s">
        <v>101</v>
      </c>
      <c r="B44" s="2"/>
      <c r="C44" s="2"/>
      <c r="D44" s="2"/>
      <c r="E44" s="2"/>
      <c r="F44" s="2"/>
      <c r="G44" s="2"/>
      <c r="H44" s="2"/>
      <c r="I44" s="2"/>
      <c r="J44" s="2"/>
      <c r="K44" s="2"/>
    </row>
    <row r="45" spans="1:11" ht="15">
      <c r="A45" s="2"/>
      <c r="B45" s="2" t="s">
        <v>126</v>
      </c>
      <c r="C45" s="2" t="s">
        <v>1</v>
      </c>
      <c r="D45" s="2"/>
      <c r="E45" s="2" t="s">
        <v>102</v>
      </c>
      <c r="F45" s="2"/>
      <c r="G45" s="2"/>
      <c r="H45" s="2"/>
      <c r="I45" s="2"/>
      <c r="J45" s="2"/>
      <c r="K45" s="2"/>
    </row>
    <row r="46" spans="1:11" ht="15">
      <c r="A46" s="2"/>
      <c r="B46" s="2" t="s">
        <v>126</v>
      </c>
      <c r="C46" s="2" t="s">
        <v>1</v>
      </c>
      <c r="D46" s="2"/>
      <c r="E46" s="2" t="s">
        <v>103</v>
      </c>
      <c r="F46" s="2"/>
      <c r="G46" s="2"/>
      <c r="H46" s="2"/>
      <c r="I46" s="2"/>
      <c r="J46" s="2"/>
      <c r="K46" s="2"/>
    </row>
    <row r="47" spans="1:11" ht="15">
      <c r="A47" s="2"/>
      <c r="B47" s="2" t="s">
        <v>126</v>
      </c>
      <c r="C47" s="34" t="s">
        <v>104</v>
      </c>
      <c r="D47" s="35"/>
      <c r="E47" s="2" t="s">
        <v>105</v>
      </c>
      <c r="F47" s="3" t="s">
        <v>106</v>
      </c>
      <c r="G47" s="2"/>
      <c r="H47" s="2"/>
      <c r="I47" s="2"/>
      <c r="J47" s="2"/>
      <c r="K47" s="2"/>
    </row>
    <row r="48" spans="1:11" ht="15">
      <c r="A48" s="2"/>
      <c r="B48" s="2" t="s">
        <v>126</v>
      </c>
      <c r="C48" s="34" t="s">
        <v>104</v>
      </c>
      <c r="D48" s="35"/>
      <c r="E48" s="2" t="s">
        <v>105</v>
      </c>
      <c r="F48" s="3" t="s">
        <v>43</v>
      </c>
      <c r="G48" s="2"/>
      <c r="H48" s="2"/>
      <c r="I48" s="2"/>
      <c r="J48" s="2"/>
      <c r="K48" s="2"/>
    </row>
    <row r="49" spans="1:11" ht="15">
      <c r="A49" s="2"/>
      <c r="B49" s="2" t="s">
        <v>126</v>
      </c>
      <c r="C49" s="34" t="s">
        <v>104</v>
      </c>
      <c r="D49" s="35"/>
      <c r="E49" s="2" t="s">
        <v>107</v>
      </c>
      <c r="F49" s="3" t="s">
        <v>106</v>
      </c>
      <c r="G49" s="2"/>
      <c r="H49" s="2"/>
      <c r="I49" s="2"/>
      <c r="J49" s="2"/>
      <c r="K49" s="2"/>
    </row>
    <row r="50" spans="1:11" ht="15">
      <c r="A50" s="2"/>
      <c r="B50" s="2" t="s">
        <v>126</v>
      </c>
      <c r="C50" s="34" t="s">
        <v>104</v>
      </c>
      <c r="D50" s="35"/>
      <c r="E50" s="2" t="s">
        <v>107</v>
      </c>
      <c r="F50" s="3" t="s">
        <v>43</v>
      </c>
      <c r="G50" s="2"/>
      <c r="H50" s="2"/>
      <c r="I50" s="2"/>
      <c r="J50" s="2"/>
      <c r="K50" s="2"/>
    </row>
    <row r="51" spans="1:11" ht="15">
      <c r="A51" s="2"/>
      <c r="B51" s="2" t="s">
        <v>126</v>
      </c>
      <c r="C51" s="34" t="s">
        <v>104</v>
      </c>
      <c r="D51" s="35"/>
      <c r="E51" s="2" t="s">
        <v>108</v>
      </c>
      <c r="F51" s="3" t="s">
        <v>106</v>
      </c>
      <c r="G51" s="2"/>
      <c r="H51" s="2"/>
      <c r="I51" s="2"/>
      <c r="J51" s="2"/>
      <c r="K51" s="2"/>
    </row>
    <row r="52" spans="1:11" ht="15">
      <c r="A52" s="2"/>
      <c r="B52" s="2" t="s">
        <v>126</v>
      </c>
      <c r="C52" s="34" t="s">
        <v>104</v>
      </c>
      <c r="D52" s="35"/>
      <c r="E52" s="2" t="s">
        <v>108</v>
      </c>
      <c r="F52" s="3" t="s">
        <v>43</v>
      </c>
      <c r="G52" s="2"/>
      <c r="H52" s="2"/>
      <c r="I52" s="2"/>
      <c r="J52" s="2"/>
      <c r="K52" s="2"/>
    </row>
    <row r="53" spans="1:11" ht="15">
      <c r="A53" s="2"/>
      <c r="B53" s="2" t="s">
        <v>126</v>
      </c>
      <c r="C53" s="34" t="s">
        <v>104</v>
      </c>
      <c r="D53" s="35"/>
      <c r="E53" s="2" t="s">
        <v>109</v>
      </c>
      <c r="F53" s="3" t="s">
        <v>106</v>
      </c>
      <c r="G53" s="2"/>
      <c r="H53" s="2"/>
      <c r="I53" s="2"/>
      <c r="J53" s="2"/>
      <c r="K53" s="2"/>
    </row>
    <row r="54" spans="1:11" ht="15">
      <c r="A54" s="2"/>
      <c r="B54" s="2" t="s">
        <v>126</v>
      </c>
      <c r="C54" s="34" t="s">
        <v>104</v>
      </c>
      <c r="D54" s="35"/>
      <c r="E54" s="2" t="s">
        <v>109</v>
      </c>
      <c r="F54" s="3" t="s">
        <v>43</v>
      </c>
      <c r="G54" s="2"/>
      <c r="H54" s="2"/>
      <c r="I54" s="2"/>
      <c r="J54" s="2"/>
      <c r="K54" s="2"/>
    </row>
    <row r="55" spans="1:11" ht="15">
      <c r="A55" s="2"/>
      <c r="B55" s="2" t="s">
        <v>126</v>
      </c>
      <c r="C55" s="2" t="s">
        <v>104</v>
      </c>
      <c r="D55" s="2" t="s">
        <v>36</v>
      </c>
      <c r="E55" s="2" t="s">
        <v>110</v>
      </c>
      <c r="F55" s="2"/>
      <c r="G55" s="2"/>
      <c r="H55" s="2"/>
      <c r="I55" s="2"/>
      <c r="J55" s="2"/>
      <c r="K55" s="2"/>
    </row>
    <row r="56" spans="1:11" ht="15">
      <c r="A56" s="2"/>
      <c r="B56" s="2" t="s">
        <v>126</v>
      </c>
      <c r="C56" s="2" t="s">
        <v>104</v>
      </c>
      <c r="D56" s="2" t="s">
        <v>36</v>
      </c>
      <c r="E56" s="2" t="s">
        <v>111</v>
      </c>
      <c r="F56" s="2"/>
      <c r="G56" s="2"/>
      <c r="H56" s="2"/>
      <c r="I56" s="2"/>
      <c r="J56" s="2"/>
      <c r="K56" s="2"/>
    </row>
    <row r="57" spans="1:11" ht="15">
      <c r="A57" s="2"/>
      <c r="B57" s="2" t="s">
        <v>126</v>
      </c>
      <c r="C57" s="2" t="s">
        <v>104</v>
      </c>
      <c r="D57" s="2" t="s">
        <v>36</v>
      </c>
      <c r="E57" s="2" t="s">
        <v>112</v>
      </c>
      <c r="F57" s="2"/>
      <c r="G57" s="2"/>
      <c r="H57" s="2"/>
      <c r="I57" s="2"/>
      <c r="J57" s="2"/>
      <c r="K57" s="2"/>
    </row>
    <row r="58" spans="1:11" ht="15">
      <c r="A58" s="2"/>
      <c r="B58" s="2" t="s">
        <v>126</v>
      </c>
      <c r="C58" s="2" t="s">
        <v>104</v>
      </c>
      <c r="D58" s="2" t="s">
        <v>36</v>
      </c>
      <c r="E58" s="2" t="s">
        <v>113</v>
      </c>
      <c r="F58" s="2"/>
      <c r="G58" s="2"/>
      <c r="H58" s="2"/>
      <c r="I58" s="2"/>
      <c r="J58" s="2"/>
      <c r="K58" s="2"/>
    </row>
    <row r="59" spans="1:11" ht="15">
      <c r="A59" s="2"/>
      <c r="B59" s="2" t="s">
        <v>126</v>
      </c>
      <c r="C59" s="2" t="s">
        <v>104</v>
      </c>
      <c r="D59" s="2" t="s">
        <v>36</v>
      </c>
      <c r="E59" s="2" t="s">
        <v>114</v>
      </c>
      <c r="F59" s="2"/>
      <c r="G59" s="2"/>
      <c r="H59" s="2"/>
      <c r="I59" s="2"/>
      <c r="J59" s="2"/>
      <c r="K59" s="2"/>
    </row>
  </sheetData>
  <autoFilter ref="F1:F1000" xr:uid="{00000000-0009-0000-0000-00000B000000}"/>
  <mergeCells count="26">
    <mergeCell ref="C53:D53"/>
    <mergeCell ref="C54:D54"/>
    <mergeCell ref="C47:D47"/>
    <mergeCell ref="C48:D48"/>
    <mergeCell ref="C49:D49"/>
    <mergeCell ref="C50:D50"/>
    <mergeCell ref="C51:D51"/>
    <mergeCell ref="C52:D52"/>
    <mergeCell ref="C25:D25"/>
    <mergeCell ref="I16:K16"/>
    <mergeCell ref="I17:K17"/>
    <mergeCell ref="C18:D18"/>
    <mergeCell ref="I18:K18"/>
    <mergeCell ref="C19:D19"/>
    <mergeCell ref="I19:K19"/>
    <mergeCell ref="C20:D20"/>
    <mergeCell ref="I20:K20"/>
    <mergeCell ref="I21:K21"/>
    <mergeCell ref="I22:K22"/>
    <mergeCell ref="C24:D24"/>
    <mergeCell ref="I15:K15"/>
    <mergeCell ref="H3:K3"/>
    <mergeCell ref="C4:D4"/>
    <mergeCell ref="C5:D5"/>
    <mergeCell ref="C14:D14"/>
    <mergeCell ref="I14:K1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91F2B-F1C2-405B-B37B-57C8896E0A4A}">
  <dimension ref="A1:O70"/>
  <sheetViews>
    <sheetView workbookViewId="0">
      <pane ySplit="1" topLeftCell="A2" activePane="bottomLeft" state="frozen"/>
      <selection pane="bottomLeft" activeCell="B3" sqref="B3:B70"/>
    </sheetView>
  </sheetViews>
  <sheetFormatPr defaultRowHeight="12.75"/>
  <cols>
    <col min="3" max="3" width="23.42578125" customWidth="1"/>
    <col min="4" max="4" width="17" hidden="1" customWidth="1"/>
    <col min="5" max="5" width="19.5703125" hidden="1" customWidth="1"/>
    <col min="6" max="7" width="38.28515625" style="11" customWidth="1"/>
    <col min="8" max="8" width="43.85546875" style="11" customWidth="1"/>
    <col min="9" max="9" width="19" bestFit="1" customWidth="1"/>
    <col min="15" max="15" width="9.140625" style="18"/>
  </cols>
  <sheetData>
    <row r="1" spans="1:15" s="15" customFormat="1">
      <c r="A1" s="15" t="s">
        <v>294</v>
      </c>
      <c r="B1" s="15" t="s">
        <v>129</v>
      </c>
      <c r="C1" s="15" t="s">
        <v>122</v>
      </c>
      <c r="D1" s="15" t="s">
        <v>122</v>
      </c>
      <c r="E1" s="15" t="s">
        <v>122</v>
      </c>
      <c r="F1" s="16" t="s">
        <v>239</v>
      </c>
      <c r="G1" s="12" t="s">
        <v>280</v>
      </c>
      <c r="H1" s="16" t="s">
        <v>121</v>
      </c>
      <c r="I1" s="15" t="s">
        <v>249</v>
      </c>
      <c r="J1" s="15" t="s">
        <v>250</v>
      </c>
      <c r="K1" s="15" t="s">
        <v>260</v>
      </c>
      <c r="L1" s="15" t="s">
        <v>261</v>
      </c>
      <c r="M1" s="15" t="s">
        <v>262</v>
      </c>
      <c r="N1" s="15" t="s">
        <v>263</v>
      </c>
      <c r="O1" s="19" t="s">
        <v>264</v>
      </c>
    </row>
    <row r="2" spans="1:15">
      <c r="B2" s="12" t="s">
        <v>138</v>
      </c>
      <c r="C2" t="s">
        <v>77</v>
      </c>
      <c r="F2" s="13" t="s">
        <v>140</v>
      </c>
      <c r="G2" s="13" t="s">
        <v>2</v>
      </c>
      <c r="H2" s="11" t="s">
        <v>80</v>
      </c>
      <c r="I2" t="s">
        <v>43</v>
      </c>
      <c r="J2" s="12" t="s">
        <v>125</v>
      </c>
      <c r="K2" t="str">
        <f t="shared" ref="K2:K23" si="0">IF(TRIM($J2)="A","A","")</f>
        <v/>
      </c>
      <c r="L2" t="str">
        <f t="shared" ref="L2:L33" si="1">IF(TRIM($J2)="B","B","")</f>
        <v/>
      </c>
      <c r="M2" t="str">
        <f t="shared" ref="M2:M23" si="2">IF(TRIM($J2)="C","C","")</f>
        <v>C</v>
      </c>
      <c r="N2" t="str">
        <f t="shared" ref="N2:N33" si="3">IF(TRIM($J2)="D","D","")</f>
        <v/>
      </c>
      <c r="O2" s="20" t="s">
        <v>268</v>
      </c>
    </row>
    <row r="3" spans="1:15" ht="15">
      <c r="B3" s="12" t="s">
        <v>138</v>
      </c>
      <c r="C3" t="s">
        <v>77</v>
      </c>
      <c r="F3" s="13" t="s">
        <v>141</v>
      </c>
      <c r="G3" s="13" t="s">
        <v>281</v>
      </c>
      <c r="H3" s="11" t="s">
        <v>78</v>
      </c>
      <c r="I3" s="17" t="s">
        <v>79</v>
      </c>
      <c r="J3" t="s">
        <v>125</v>
      </c>
      <c r="K3" t="str">
        <f t="shared" si="0"/>
        <v/>
      </c>
      <c r="L3" t="str">
        <f t="shared" si="1"/>
        <v/>
      </c>
      <c r="M3" t="str">
        <f t="shared" si="2"/>
        <v>C</v>
      </c>
      <c r="N3" t="str">
        <f t="shared" si="3"/>
        <v/>
      </c>
      <c r="O3" s="18" t="s">
        <v>78</v>
      </c>
    </row>
    <row r="4" spans="1:15">
      <c r="B4" s="12" t="s">
        <v>138</v>
      </c>
      <c r="C4" t="s">
        <v>46</v>
      </c>
      <c r="F4" s="13" t="s">
        <v>142</v>
      </c>
      <c r="G4" s="13" t="s">
        <v>281</v>
      </c>
      <c r="H4" s="11" t="s">
        <v>47</v>
      </c>
      <c r="I4" t="s">
        <v>48</v>
      </c>
      <c r="J4" s="12" t="s">
        <v>124</v>
      </c>
      <c r="K4" t="str">
        <f t="shared" si="0"/>
        <v/>
      </c>
      <c r="L4" t="str">
        <f t="shared" si="1"/>
        <v>B</v>
      </c>
      <c r="M4" t="str">
        <f t="shared" si="2"/>
        <v/>
      </c>
      <c r="N4" t="str">
        <f t="shared" si="3"/>
        <v/>
      </c>
      <c r="O4" s="18" t="s">
        <v>47</v>
      </c>
    </row>
    <row r="5" spans="1:15">
      <c r="B5" s="12" t="s">
        <v>138</v>
      </c>
      <c r="C5" t="s">
        <v>46</v>
      </c>
      <c r="F5" s="13" t="s">
        <v>143</v>
      </c>
      <c r="G5" s="13" t="s">
        <v>281</v>
      </c>
      <c r="H5" s="11" t="s">
        <v>76</v>
      </c>
      <c r="I5" t="s">
        <v>43</v>
      </c>
      <c r="J5" t="s">
        <v>125</v>
      </c>
      <c r="K5" t="str">
        <f t="shared" si="0"/>
        <v/>
      </c>
      <c r="L5" t="str">
        <f t="shared" si="1"/>
        <v/>
      </c>
      <c r="M5" t="str">
        <f t="shared" si="2"/>
        <v>C</v>
      </c>
      <c r="N5" t="str">
        <f t="shared" si="3"/>
        <v/>
      </c>
      <c r="O5" s="18" t="s">
        <v>76</v>
      </c>
    </row>
    <row r="6" spans="1:15">
      <c r="B6" s="12" t="s">
        <v>138</v>
      </c>
      <c r="C6" t="s">
        <v>46</v>
      </c>
      <c r="F6" s="13" t="s">
        <v>144</v>
      </c>
      <c r="G6" s="13" t="s">
        <v>281</v>
      </c>
      <c r="H6" s="11" t="s">
        <v>74</v>
      </c>
      <c r="I6" t="s">
        <v>75</v>
      </c>
      <c r="J6" t="s">
        <v>125</v>
      </c>
      <c r="K6" t="str">
        <f t="shared" si="0"/>
        <v/>
      </c>
      <c r="L6" t="str">
        <f t="shared" si="1"/>
        <v/>
      </c>
      <c r="M6" t="str">
        <f t="shared" si="2"/>
        <v>C</v>
      </c>
      <c r="N6" t="str">
        <f t="shared" si="3"/>
        <v/>
      </c>
      <c r="O6" s="18" t="s">
        <v>74</v>
      </c>
    </row>
    <row r="7" spans="1:15">
      <c r="B7" s="12" t="s">
        <v>138</v>
      </c>
      <c r="C7" t="s">
        <v>67</v>
      </c>
      <c r="F7" s="13" t="s">
        <v>145</v>
      </c>
      <c r="G7" s="13" t="s">
        <v>2</v>
      </c>
      <c r="H7" s="11" t="s">
        <v>72</v>
      </c>
      <c r="I7" t="s">
        <v>18</v>
      </c>
      <c r="J7" s="12" t="s">
        <v>124</v>
      </c>
      <c r="K7" t="str">
        <f t="shared" si="0"/>
        <v/>
      </c>
      <c r="L7" t="str">
        <f t="shared" si="1"/>
        <v>B</v>
      </c>
      <c r="M7" t="str">
        <f t="shared" si="2"/>
        <v/>
      </c>
      <c r="N7" t="str">
        <f t="shared" si="3"/>
        <v/>
      </c>
      <c r="O7" s="20" t="s">
        <v>269</v>
      </c>
    </row>
    <row r="8" spans="1:15">
      <c r="B8" s="12" t="s">
        <v>138</v>
      </c>
      <c r="C8" t="s">
        <v>67</v>
      </c>
      <c r="F8" s="13" t="s">
        <v>146</v>
      </c>
      <c r="G8" s="13" t="s">
        <v>281</v>
      </c>
      <c r="H8" s="11" t="s">
        <v>68</v>
      </c>
      <c r="I8" t="s">
        <v>69</v>
      </c>
      <c r="J8" s="12" t="s">
        <v>124</v>
      </c>
      <c r="K8" t="str">
        <f t="shared" si="0"/>
        <v/>
      </c>
      <c r="L8" t="str">
        <f t="shared" si="1"/>
        <v>B</v>
      </c>
      <c r="M8" t="str">
        <f t="shared" si="2"/>
        <v/>
      </c>
      <c r="N8" t="str">
        <f t="shared" si="3"/>
        <v/>
      </c>
      <c r="O8" s="18" t="s">
        <v>68</v>
      </c>
    </row>
    <row r="9" spans="1:15">
      <c r="B9" s="12" t="s">
        <v>138</v>
      </c>
      <c r="C9" s="12" t="s">
        <v>67</v>
      </c>
      <c r="D9" s="12"/>
      <c r="E9" s="12"/>
      <c r="F9" s="13" t="s">
        <v>153</v>
      </c>
      <c r="G9" s="13" t="s">
        <v>281</v>
      </c>
      <c r="H9" s="11" t="s">
        <v>17</v>
      </c>
      <c r="I9" t="s">
        <v>18</v>
      </c>
      <c r="J9" s="12" t="s">
        <v>251</v>
      </c>
      <c r="K9" t="str">
        <f t="shared" si="0"/>
        <v>A</v>
      </c>
      <c r="L9" t="str">
        <f t="shared" si="1"/>
        <v/>
      </c>
      <c r="M9" t="str">
        <f t="shared" si="2"/>
        <v/>
      </c>
      <c r="N9" t="str">
        <f t="shared" si="3"/>
        <v/>
      </c>
      <c r="O9" s="18" t="s">
        <v>17</v>
      </c>
    </row>
    <row r="10" spans="1:15">
      <c r="A10" s="12" t="s">
        <v>279</v>
      </c>
      <c r="B10" s="12" t="s">
        <v>138</v>
      </c>
      <c r="C10" t="s">
        <v>85</v>
      </c>
      <c r="F10" s="13" t="s">
        <v>241</v>
      </c>
      <c r="G10" s="13" t="s">
        <v>284</v>
      </c>
      <c r="H10" s="13" t="s">
        <v>252</v>
      </c>
      <c r="I10" s="12" t="s">
        <v>240</v>
      </c>
      <c r="J10" s="12" t="s">
        <v>125</v>
      </c>
      <c r="K10" t="str">
        <f t="shared" si="0"/>
        <v/>
      </c>
      <c r="L10" t="str">
        <f t="shared" si="1"/>
        <v/>
      </c>
      <c r="M10" t="str">
        <f t="shared" si="2"/>
        <v>C</v>
      </c>
      <c r="N10" t="str">
        <f t="shared" si="3"/>
        <v/>
      </c>
      <c r="O10" s="18" t="s">
        <v>270</v>
      </c>
    </row>
    <row r="11" spans="1:15">
      <c r="A11" s="12" t="s">
        <v>279</v>
      </c>
      <c r="B11" s="12" t="s">
        <v>138</v>
      </c>
      <c r="C11" t="s">
        <v>85</v>
      </c>
      <c r="F11" s="13" t="s">
        <v>242</v>
      </c>
      <c r="G11" s="13" t="s">
        <v>284</v>
      </c>
      <c r="H11" s="13" t="s">
        <v>253</v>
      </c>
      <c r="I11" s="12" t="s">
        <v>240</v>
      </c>
      <c r="J11" s="12" t="s">
        <v>125</v>
      </c>
      <c r="K11" t="str">
        <f t="shared" si="0"/>
        <v/>
      </c>
      <c r="L11" t="str">
        <f t="shared" si="1"/>
        <v/>
      </c>
      <c r="M11" t="str">
        <f t="shared" si="2"/>
        <v>C</v>
      </c>
      <c r="N11" t="str">
        <f t="shared" si="3"/>
        <v/>
      </c>
      <c r="O11" s="18" t="s">
        <v>270</v>
      </c>
    </row>
    <row r="12" spans="1:15">
      <c r="A12" s="12" t="s">
        <v>279</v>
      </c>
      <c r="B12" s="12" t="s">
        <v>138</v>
      </c>
      <c r="C12" t="s">
        <v>85</v>
      </c>
      <c r="F12" s="13" t="s">
        <v>243</v>
      </c>
      <c r="G12" s="13" t="s">
        <v>284</v>
      </c>
      <c r="H12" s="13" t="s">
        <v>254</v>
      </c>
      <c r="I12" s="12" t="s">
        <v>240</v>
      </c>
      <c r="J12" s="12" t="s">
        <v>125</v>
      </c>
      <c r="K12" t="str">
        <f t="shared" si="0"/>
        <v/>
      </c>
      <c r="L12" t="str">
        <f t="shared" si="1"/>
        <v/>
      </c>
      <c r="M12" t="str">
        <f t="shared" si="2"/>
        <v>C</v>
      </c>
      <c r="N12" t="str">
        <f t="shared" si="3"/>
        <v/>
      </c>
      <c r="O12" s="18" t="s">
        <v>271</v>
      </c>
    </row>
    <row r="13" spans="1:15">
      <c r="A13" s="12" t="s">
        <v>279</v>
      </c>
      <c r="B13" s="12" t="s">
        <v>138</v>
      </c>
      <c r="C13" t="s">
        <v>85</v>
      </c>
      <c r="F13" s="13" t="s">
        <v>244</v>
      </c>
      <c r="G13" s="13" t="s">
        <v>284</v>
      </c>
      <c r="H13" s="13" t="s">
        <v>255</v>
      </c>
      <c r="I13" s="12" t="s">
        <v>240</v>
      </c>
      <c r="J13" s="12" t="s">
        <v>125</v>
      </c>
      <c r="K13" t="str">
        <f t="shared" si="0"/>
        <v/>
      </c>
      <c r="L13" t="str">
        <f t="shared" si="1"/>
        <v/>
      </c>
      <c r="M13" t="str">
        <f t="shared" si="2"/>
        <v>C</v>
      </c>
      <c r="N13" t="str">
        <f t="shared" si="3"/>
        <v/>
      </c>
      <c r="O13" s="18" t="s">
        <v>271</v>
      </c>
    </row>
    <row r="14" spans="1:15">
      <c r="A14" s="12" t="s">
        <v>279</v>
      </c>
      <c r="B14" s="12" t="s">
        <v>138</v>
      </c>
      <c r="C14" t="s">
        <v>85</v>
      </c>
      <c r="F14" s="13" t="s">
        <v>245</v>
      </c>
      <c r="G14" s="13" t="s">
        <v>284</v>
      </c>
      <c r="H14" s="13" t="s">
        <v>256</v>
      </c>
      <c r="I14" s="12" t="s">
        <v>240</v>
      </c>
      <c r="J14" s="12" t="s">
        <v>125</v>
      </c>
      <c r="K14" t="str">
        <f t="shared" si="0"/>
        <v/>
      </c>
      <c r="L14" t="str">
        <f t="shared" si="1"/>
        <v/>
      </c>
      <c r="M14" t="str">
        <f t="shared" si="2"/>
        <v>C</v>
      </c>
      <c r="N14" t="str">
        <f t="shared" si="3"/>
        <v/>
      </c>
      <c r="O14" s="18" t="s">
        <v>272</v>
      </c>
    </row>
    <row r="15" spans="1:15">
      <c r="A15" s="12" t="s">
        <v>279</v>
      </c>
      <c r="B15" s="12" t="s">
        <v>138</v>
      </c>
      <c r="C15" t="s">
        <v>85</v>
      </c>
      <c r="F15" s="13" t="s">
        <v>246</v>
      </c>
      <c r="G15" s="13" t="s">
        <v>284</v>
      </c>
      <c r="H15" s="13" t="s">
        <v>258</v>
      </c>
      <c r="I15" s="12" t="s">
        <v>240</v>
      </c>
      <c r="J15" s="12" t="s">
        <v>125</v>
      </c>
      <c r="K15" t="str">
        <f t="shared" si="0"/>
        <v/>
      </c>
      <c r="L15" t="str">
        <f t="shared" si="1"/>
        <v/>
      </c>
      <c r="M15" t="str">
        <f t="shared" si="2"/>
        <v>C</v>
      </c>
      <c r="N15" t="str">
        <f t="shared" si="3"/>
        <v/>
      </c>
      <c r="O15" s="18" t="s">
        <v>272</v>
      </c>
    </row>
    <row r="16" spans="1:15">
      <c r="A16" s="12" t="s">
        <v>279</v>
      </c>
      <c r="B16" s="12" t="s">
        <v>138</v>
      </c>
      <c r="C16" t="s">
        <v>85</v>
      </c>
      <c r="F16" s="13" t="s">
        <v>247</v>
      </c>
      <c r="G16" s="13" t="s">
        <v>284</v>
      </c>
      <c r="H16" s="13" t="s">
        <v>257</v>
      </c>
      <c r="I16" s="12" t="s">
        <v>240</v>
      </c>
      <c r="J16" s="12" t="s">
        <v>125</v>
      </c>
      <c r="K16" t="str">
        <f t="shared" si="0"/>
        <v/>
      </c>
      <c r="L16" t="str">
        <f t="shared" si="1"/>
        <v/>
      </c>
      <c r="M16" t="str">
        <f t="shared" si="2"/>
        <v>C</v>
      </c>
      <c r="N16" t="str">
        <f t="shared" si="3"/>
        <v/>
      </c>
      <c r="O16" s="18" t="s">
        <v>273</v>
      </c>
    </row>
    <row r="17" spans="1:15">
      <c r="A17" s="12" t="s">
        <v>279</v>
      </c>
      <c r="B17" s="12" t="s">
        <v>138</v>
      </c>
      <c r="C17" t="s">
        <v>85</v>
      </c>
      <c r="F17" s="13" t="s">
        <v>248</v>
      </c>
      <c r="G17" s="13" t="s">
        <v>284</v>
      </c>
      <c r="H17" s="13" t="s">
        <v>259</v>
      </c>
      <c r="I17" s="12" t="s">
        <v>240</v>
      </c>
      <c r="J17" s="12" t="s">
        <v>125</v>
      </c>
      <c r="K17" t="str">
        <f t="shared" si="0"/>
        <v/>
      </c>
      <c r="L17" t="str">
        <f t="shared" si="1"/>
        <v/>
      </c>
      <c r="M17" t="str">
        <f t="shared" si="2"/>
        <v>C</v>
      </c>
      <c r="N17" t="str">
        <f t="shared" si="3"/>
        <v/>
      </c>
      <c r="O17" s="18" t="s">
        <v>273</v>
      </c>
    </row>
    <row r="18" spans="1:15">
      <c r="A18" s="12" t="s">
        <v>279</v>
      </c>
      <c r="B18" s="12" t="s">
        <v>138</v>
      </c>
      <c r="C18" t="s">
        <v>85</v>
      </c>
      <c r="F18" s="13" t="s">
        <v>147</v>
      </c>
      <c r="G18" s="13" t="s">
        <v>281</v>
      </c>
      <c r="H18" s="11" t="s">
        <v>86</v>
      </c>
      <c r="I18" s="12" t="s">
        <v>240</v>
      </c>
      <c r="J18" s="12" t="s">
        <v>125</v>
      </c>
      <c r="K18" t="str">
        <f t="shared" si="0"/>
        <v/>
      </c>
      <c r="L18" t="str">
        <f t="shared" si="1"/>
        <v/>
      </c>
      <c r="M18" t="str">
        <f t="shared" si="2"/>
        <v>C</v>
      </c>
      <c r="N18" t="str">
        <f t="shared" si="3"/>
        <v/>
      </c>
      <c r="O18" s="18" t="s">
        <v>86</v>
      </c>
    </row>
    <row r="19" spans="1:15">
      <c r="A19" s="12" t="s">
        <v>279</v>
      </c>
      <c r="B19" s="12" t="s">
        <v>138</v>
      </c>
      <c r="C19" t="s">
        <v>85</v>
      </c>
      <c r="F19" s="13" t="s">
        <v>148</v>
      </c>
      <c r="G19" s="13" t="s">
        <v>284</v>
      </c>
      <c r="H19" s="11" t="s">
        <v>87</v>
      </c>
      <c r="I19" s="12" t="s">
        <v>240</v>
      </c>
      <c r="J19" s="12" t="s">
        <v>125</v>
      </c>
      <c r="K19" t="str">
        <f t="shared" si="0"/>
        <v/>
      </c>
      <c r="L19" t="str">
        <f t="shared" si="1"/>
        <v/>
      </c>
      <c r="M19" t="str">
        <f t="shared" si="2"/>
        <v>C</v>
      </c>
      <c r="N19" t="str">
        <f t="shared" si="3"/>
        <v/>
      </c>
      <c r="O19" s="18" t="s">
        <v>274</v>
      </c>
    </row>
    <row r="20" spans="1:15">
      <c r="A20" s="12" t="s">
        <v>279</v>
      </c>
      <c r="B20" s="12" t="s">
        <v>138</v>
      </c>
      <c r="C20" t="s">
        <v>85</v>
      </c>
      <c r="F20" s="13" t="s">
        <v>149</v>
      </c>
      <c r="G20" s="13" t="s">
        <v>284</v>
      </c>
      <c r="H20" s="11" t="s">
        <v>88</v>
      </c>
      <c r="I20" s="12" t="s">
        <v>240</v>
      </c>
      <c r="J20" s="12" t="s">
        <v>125</v>
      </c>
      <c r="K20" t="str">
        <f t="shared" si="0"/>
        <v/>
      </c>
      <c r="L20" t="str">
        <f t="shared" si="1"/>
        <v/>
      </c>
      <c r="M20" t="str">
        <f t="shared" si="2"/>
        <v>C</v>
      </c>
      <c r="N20" t="str">
        <f t="shared" si="3"/>
        <v/>
      </c>
      <c r="O20" s="18" t="s">
        <v>275</v>
      </c>
    </row>
    <row r="21" spans="1:15">
      <c r="A21" s="12" t="s">
        <v>279</v>
      </c>
      <c r="B21" s="12" t="s">
        <v>138</v>
      </c>
      <c r="C21" t="s">
        <v>85</v>
      </c>
      <c r="F21" s="13" t="s">
        <v>150</v>
      </c>
      <c r="G21" s="13" t="s">
        <v>284</v>
      </c>
      <c r="H21" s="11" t="s">
        <v>94</v>
      </c>
      <c r="I21" s="12" t="s">
        <v>240</v>
      </c>
      <c r="J21" s="12" t="s">
        <v>125</v>
      </c>
      <c r="K21" t="str">
        <f t="shared" si="0"/>
        <v/>
      </c>
      <c r="L21" t="str">
        <f t="shared" si="1"/>
        <v/>
      </c>
      <c r="M21" t="str">
        <f t="shared" si="2"/>
        <v>C</v>
      </c>
      <c r="N21" t="str">
        <f t="shared" si="3"/>
        <v/>
      </c>
      <c r="O21" s="18" t="s">
        <v>276</v>
      </c>
    </row>
    <row r="22" spans="1:15">
      <c r="A22" s="12" t="s">
        <v>279</v>
      </c>
      <c r="B22" s="12" t="s">
        <v>138</v>
      </c>
      <c r="C22" t="s">
        <v>85</v>
      </c>
      <c r="F22" s="13" t="s">
        <v>151</v>
      </c>
      <c r="G22" s="13" t="s">
        <v>284</v>
      </c>
      <c r="H22" s="11" t="s">
        <v>95</v>
      </c>
      <c r="I22" s="12" t="s">
        <v>240</v>
      </c>
      <c r="J22" s="12" t="s">
        <v>125</v>
      </c>
      <c r="K22" t="str">
        <f t="shared" si="0"/>
        <v/>
      </c>
      <c r="L22" t="str">
        <f t="shared" si="1"/>
        <v/>
      </c>
      <c r="M22" t="str">
        <f t="shared" si="2"/>
        <v>C</v>
      </c>
      <c r="N22" t="str">
        <f t="shared" si="3"/>
        <v/>
      </c>
      <c r="O22" s="18" t="s">
        <v>277</v>
      </c>
    </row>
    <row r="23" spans="1:15">
      <c r="A23" s="12" t="s">
        <v>279</v>
      </c>
      <c r="B23" s="12" t="s">
        <v>138</v>
      </c>
      <c r="C23" t="s">
        <v>85</v>
      </c>
      <c r="F23" s="13" t="s">
        <v>152</v>
      </c>
      <c r="G23" s="13" t="s">
        <v>284</v>
      </c>
      <c r="H23" s="11" t="s">
        <v>93</v>
      </c>
      <c r="I23" s="12" t="s">
        <v>240</v>
      </c>
      <c r="J23" s="12" t="s">
        <v>125</v>
      </c>
      <c r="K23" t="str">
        <f t="shared" si="0"/>
        <v/>
      </c>
      <c r="L23" t="str">
        <f t="shared" si="1"/>
        <v/>
      </c>
      <c r="M23" t="str">
        <f t="shared" si="2"/>
        <v>C</v>
      </c>
      <c r="N23" t="str">
        <f t="shared" si="3"/>
        <v/>
      </c>
      <c r="O23" s="18" t="s">
        <v>278</v>
      </c>
    </row>
    <row r="24" spans="1:15">
      <c r="B24" s="12" t="s">
        <v>138</v>
      </c>
      <c r="C24" t="s">
        <v>60</v>
      </c>
      <c r="D24" t="s">
        <v>23</v>
      </c>
      <c r="E24" t="s">
        <v>81</v>
      </c>
      <c r="F24" s="13" t="s">
        <v>154</v>
      </c>
      <c r="G24" s="13" t="s">
        <v>282</v>
      </c>
      <c r="H24" s="13" t="s">
        <v>42</v>
      </c>
      <c r="I24" t="s">
        <v>43</v>
      </c>
      <c r="J24" t="s">
        <v>124</v>
      </c>
      <c r="K24" s="12" t="s">
        <v>123</v>
      </c>
      <c r="L24" t="str">
        <f t="shared" si="1"/>
        <v>B</v>
      </c>
      <c r="M24" s="12" t="s">
        <v>125</v>
      </c>
      <c r="N24" t="str">
        <f t="shared" si="3"/>
        <v/>
      </c>
      <c r="O24" s="13" t="s">
        <v>42</v>
      </c>
    </row>
    <row r="25" spans="1:15">
      <c r="B25" s="12" t="s">
        <v>138</v>
      </c>
      <c r="C25" t="s">
        <v>60</v>
      </c>
      <c r="D25" t="s">
        <v>23</v>
      </c>
      <c r="E25" t="s">
        <v>81</v>
      </c>
      <c r="F25" s="13" t="s">
        <v>155</v>
      </c>
      <c r="G25" s="13" t="s">
        <v>283</v>
      </c>
      <c r="H25" s="13" t="s">
        <v>37</v>
      </c>
      <c r="I25" t="s">
        <v>38</v>
      </c>
      <c r="J25" t="s">
        <v>124</v>
      </c>
      <c r="K25" s="12" t="s">
        <v>123</v>
      </c>
      <c r="L25" t="str">
        <f t="shared" si="1"/>
        <v>B</v>
      </c>
      <c r="M25" s="12" t="s">
        <v>125</v>
      </c>
      <c r="N25" t="str">
        <f t="shared" si="3"/>
        <v/>
      </c>
      <c r="O25" s="13" t="s">
        <v>37</v>
      </c>
    </row>
    <row r="26" spans="1:15">
      <c r="B26" s="12" t="s">
        <v>138</v>
      </c>
      <c r="C26" t="s">
        <v>60</v>
      </c>
      <c r="F26" s="13" t="s">
        <v>156</v>
      </c>
      <c r="G26" s="13" t="s">
        <v>281</v>
      </c>
      <c r="H26" s="13" t="s">
        <v>158</v>
      </c>
      <c r="I26" t="s">
        <v>43</v>
      </c>
      <c r="J26" t="s">
        <v>124</v>
      </c>
      <c r="K26" t="str">
        <f t="shared" ref="K26:K57" si="4">IF(TRIM($J26)="A","A","")</f>
        <v/>
      </c>
      <c r="L26" t="str">
        <f t="shared" si="1"/>
        <v>B</v>
      </c>
      <c r="M26" t="str">
        <f t="shared" ref="M26:M57" si="5">IF(TRIM($J26)="C","C","")</f>
        <v/>
      </c>
      <c r="N26" t="str">
        <f t="shared" si="3"/>
        <v/>
      </c>
      <c r="O26" s="20" t="s">
        <v>61</v>
      </c>
    </row>
    <row r="27" spans="1:15">
      <c r="B27" s="12" t="s">
        <v>138</v>
      </c>
      <c r="C27" t="s">
        <v>60</v>
      </c>
      <c r="F27" s="13" t="s">
        <v>157</v>
      </c>
      <c r="G27" s="13" t="s">
        <v>281</v>
      </c>
      <c r="H27" s="13" t="s">
        <v>159</v>
      </c>
      <c r="I27" t="s">
        <v>43</v>
      </c>
      <c r="J27" t="s">
        <v>124</v>
      </c>
      <c r="K27" t="str">
        <f t="shared" si="4"/>
        <v/>
      </c>
      <c r="L27" t="str">
        <f t="shared" si="1"/>
        <v>B</v>
      </c>
      <c r="M27" t="str">
        <f t="shared" si="5"/>
        <v/>
      </c>
      <c r="N27" t="str">
        <f t="shared" si="3"/>
        <v/>
      </c>
      <c r="O27" s="20" t="s">
        <v>61</v>
      </c>
    </row>
    <row r="28" spans="1:15" ht="15">
      <c r="B28" s="12" t="s">
        <v>138</v>
      </c>
      <c r="C28" s="12" t="s">
        <v>11</v>
      </c>
      <c r="D28" s="12"/>
      <c r="E28" s="12"/>
      <c r="F28" s="13" t="s">
        <v>160</v>
      </c>
      <c r="G28" s="13" t="s">
        <v>281</v>
      </c>
      <c r="H28" s="11" t="s">
        <v>12</v>
      </c>
      <c r="I28" s="17" t="s">
        <v>13</v>
      </c>
      <c r="J28" t="s">
        <v>123</v>
      </c>
      <c r="K28" t="str">
        <f t="shared" si="4"/>
        <v>A</v>
      </c>
      <c r="L28" t="str">
        <f t="shared" si="1"/>
        <v/>
      </c>
      <c r="M28" t="str">
        <f t="shared" si="5"/>
        <v/>
      </c>
      <c r="N28" t="str">
        <f t="shared" si="3"/>
        <v/>
      </c>
      <c r="O28" s="11" t="s">
        <v>12</v>
      </c>
    </row>
    <row r="29" spans="1:15">
      <c r="B29" s="12" t="s">
        <v>138</v>
      </c>
      <c r="C29" t="s">
        <v>55</v>
      </c>
      <c r="F29" s="13" t="s">
        <v>161</v>
      </c>
      <c r="G29" s="13" t="s">
        <v>281</v>
      </c>
      <c r="H29" s="11" t="s">
        <v>162</v>
      </c>
      <c r="I29" t="s">
        <v>48</v>
      </c>
      <c r="J29" t="s">
        <v>124</v>
      </c>
      <c r="K29" t="str">
        <f t="shared" si="4"/>
        <v/>
      </c>
      <c r="L29" t="str">
        <f t="shared" si="1"/>
        <v>B</v>
      </c>
      <c r="M29" t="str">
        <f t="shared" si="5"/>
        <v/>
      </c>
      <c r="N29" t="str">
        <f t="shared" si="3"/>
        <v/>
      </c>
      <c r="O29" s="13" t="s">
        <v>56</v>
      </c>
    </row>
    <row r="30" spans="1:15">
      <c r="B30" s="12" t="s">
        <v>138</v>
      </c>
      <c r="C30" t="s">
        <v>55</v>
      </c>
      <c r="F30" s="13" t="s">
        <v>163</v>
      </c>
      <c r="G30" s="13" t="s">
        <v>281</v>
      </c>
      <c r="H30" s="13" t="s">
        <v>164</v>
      </c>
      <c r="I30" t="s">
        <v>48</v>
      </c>
      <c r="J30" t="s">
        <v>124</v>
      </c>
      <c r="K30" t="str">
        <f t="shared" si="4"/>
        <v/>
      </c>
      <c r="L30" t="str">
        <f t="shared" si="1"/>
        <v>B</v>
      </c>
      <c r="M30" t="str">
        <f t="shared" si="5"/>
        <v/>
      </c>
      <c r="N30" t="str">
        <f t="shared" si="3"/>
        <v/>
      </c>
      <c r="O30" s="13" t="s">
        <v>56</v>
      </c>
    </row>
    <row r="31" spans="1:15">
      <c r="B31" s="12" t="s">
        <v>138</v>
      </c>
      <c r="C31" t="s">
        <v>55</v>
      </c>
      <c r="F31" s="13" t="s">
        <v>165</v>
      </c>
      <c r="G31" s="13" t="s">
        <v>281</v>
      </c>
      <c r="H31" s="13" t="s">
        <v>166</v>
      </c>
      <c r="I31" t="s">
        <v>48</v>
      </c>
      <c r="J31" t="s">
        <v>124</v>
      </c>
      <c r="K31" t="str">
        <f t="shared" si="4"/>
        <v/>
      </c>
      <c r="L31" t="str">
        <f t="shared" si="1"/>
        <v>B</v>
      </c>
      <c r="M31" t="str">
        <f t="shared" si="5"/>
        <v/>
      </c>
      <c r="N31" t="str">
        <f t="shared" si="3"/>
        <v/>
      </c>
      <c r="O31" s="13" t="s">
        <v>56</v>
      </c>
    </row>
    <row r="32" spans="1:15">
      <c r="B32" s="12" t="s">
        <v>138</v>
      </c>
      <c r="C32" t="s">
        <v>55</v>
      </c>
      <c r="F32" s="13" t="s">
        <v>167</v>
      </c>
      <c r="G32" s="13" t="s">
        <v>281</v>
      </c>
      <c r="H32" s="13" t="s">
        <v>168</v>
      </c>
      <c r="I32" t="s">
        <v>48</v>
      </c>
      <c r="J32" t="s">
        <v>124</v>
      </c>
      <c r="K32" t="str">
        <f t="shared" si="4"/>
        <v/>
      </c>
      <c r="L32" t="str">
        <f t="shared" si="1"/>
        <v>B</v>
      </c>
      <c r="M32" t="str">
        <f t="shared" si="5"/>
        <v/>
      </c>
      <c r="N32" t="str">
        <f t="shared" si="3"/>
        <v/>
      </c>
      <c r="O32" s="13" t="s">
        <v>56</v>
      </c>
    </row>
    <row r="33" spans="1:15">
      <c r="B33" s="12" t="s">
        <v>138</v>
      </c>
      <c r="C33" t="s">
        <v>55</v>
      </c>
      <c r="F33" s="13" t="s">
        <v>169</v>
      </c>
      <c r="G33" s="13" t="s">
        <v>281</v>
      </c>
      <c r="H33" s="13" t="s">
        <v>170</v>
      </c>
      <c r="I33" t="s">
        <v>48</v>
      </c>
      <c r="J33" t="s">
        <v>124</v>
      </c>
      <c r="K33" t="str">
        <f t="shared" si="4"/>
        <v/>
      </c>
      <c r="L33" t="str">
        <f t="shared" si="1"/>
        <v>B</v>
      </c>
      <c r="M33" t="str">
        <f t="shared" si="5"/>
        <v/>
      </c>
      <c r="N33" t="str">
        <f t="shared" si="3"/>
        <v/>
      </c>
      <c r="O33" s="13" t="s">
        <v>56</v>
      </c>
    </row>
    <row r="34" spans="1:15">
      <c r="B34" s="12" t="s">
        <v>138</v>
      </c>
      <c r="C34" t="s">
        <v>55</v>
      </c>
      <c r="F34" s="13" t="s">
        <v>171</v>
      </c>
      <c r="G34" s="13" t="s">
        <v>281</v>
      </c>
      <c r="H34" s="13" t="s">
        <v>172</v>
      </c>
      <c r="I34" t="s">
        <v>48</v>
      </c>
      <c r="J34" t="s">
        <v>124</v>
      </c>
      <c r="K34" t="str">
        <f t="shared" si="4"/>
        <v/>
      </c>
      <c r="L34" t="str">
        <f t="shared" ref="L34:L57" si="6">IF(TRIM($J34)="B","B","")</f>
        <v>B</v>
      </c>
      <c r="M34" t="str">
        <f t="shared" si="5"/>
        <v/>
      </c>
      <c r="N34" t="str">
        <f t="shared" ref="N34:N57" si="7">IF(TRIM($J34)="D","D","")</f>
        <v/>
      </c>
      <c r="O34" s="13" t="s">
        <v>56</v>
      </c>
    </row>
    <row r="35" spans="1:15">
      <c r="B35" s="12" t="s">
        <v>138</v>
      </c>
      <c r="C35" t="s">
        <v>55</v>
      </c>
      <c r="F35" s="13" t="s">
        <v>173</v>
      </c>
      <c r="G35" s="13" t="s">
        <v>281</v>
      </c>
      <c r="H35" s="13" t="s">
        <v>174</v>
      </c>
      <c r="I35" t="s">
        <v>48</v>
      </c>
      <c r="J35" t="s">
        <v>124</v>
      </c>
      <c r="K35" t="str">
        <f t="shared" si="4"/>
        <v/>
      </c>
      <c r="L35" t="str">
        <f t="shared" si="6"/>
        <v>B</v>
      </c>
      <c r="M35" t="str">
        <f t="shared" si="5"/>
        <v/>
      </c>
      <c r="N35" t="str">
        <f t="shared" si="7"/>
        <v/>
      </c>
      <c r="O35" s="13" t="s">
        <v>56</v>
      </c>
    </row>
    <row r="36" spans="1:15">
      <c r="B36" s="12" t="s">
        <v>138</v>
      </c>
      <c r="C36" t="s">
        <v>55</v>
      </c>
      <c r="F36" s="13" t="s">
        <v>175</v>
      </c>
      <c r="G36" s="13" t="s">
        <v>281</v>
      </c>
      <c r="H36" s="13" t="s">
        <v>176</v>
      </c>
      <c r="I36" t="s">
        <v>48</v>
      </c>
      <c r="J36" t="s">
        <v>124</v>
      </c>
      <c r="K36" t="str">
        <f t="shared" si="4"/>
        <v/>
      </c>
      <c r="L36" t="str">
        <f t="shared" si="6"/>
        <v>B</v>
      </c>
      <c r="M36" t="str">
        <f t="shared" si="5"/>
        <v/>
      </c>
      <c r="N36" t="str">
        <f t="shared" si="7"/>
        <v/>
      </c>
      <c r="O36" s="13" t="s">
        <v>56</v>
      </c>
    </row>
    <row r="37" spans="1:15">
      <c r="B37" s="12" t="s">
        <v>138</v>
      </c>
      <c r="C37" t="s">
        <v>55</v>
      </c>
      <c r="F37" s="13" t="s">
        <v>177</v>
      </c>
      <c r="G37" s="13" t="s">
        <v>281</v>
      </c>
      <c r="H37" s="13" t="s">
        <v>178</v>
      </c>
      <c r="I37" t="s">
        <v>48</v>
      </c>
      <c r="J37" t="s">
        <v>124</v>
      </c>
      <c r="K37" t="str">
        <f t="shared" si="4"/>
        <v/>
      </c>
      <c r="L37" t="str">
        <f t="shared" si="6"/>
        <v>B</v>
      </c>
      <c r="M37" t="str">
        <f t="shared" si="5"/>
        <v/>
      </c>
      <c r="N37" t="str">
        <f t="shared" si="7"/>
        <v/>
      </c>
      <c r="O37" s="13" t="s">
        <v>56</v>
      </c>
    </row>
    <row r="38" spans="1:15">
      <c r="B38" s="12" t="s">
        <v>138</v>
      </c>
      <c r="C38" t="s">
        <v>55</v>
      </c>
      <c r="F38" s="13" t="s">
        <v>179</v>
      </c>
      <c r="G38" s="13" t="s">
        <v>281</v>
      </c>
      <c r="H38" s="13" t="s">
        <v>180</v>
      </c>
      <c r="I38" t="s">
        <v>48</v>
      </c>
      <c r="J38" t="s">
        <v>124</v>
      </c>
      <c r="K38" t="str">
        <f t="shared" si="4"/>
        <v/>
      </c>
      <c r="L38" t="str">
        <f t="shared" si="6"/>
        <v>B</v>
      </c>
      <c r="M38" t="str">
        <f t="shared" si="5"/>
        <v/>
      </c>
      <c r="N38" t="str">
        <f t="shared" si="7"/>
        <v/>
      </c>
      <c r="O38" s="13" t="s">
        <v>56</v>
      </c>
    </row>
    <row r="39" spans="1:15">
      <c r="B39" s="12" t="s">
        <v>138</v>
      </c>
      <c r="C39" t="s">
        <v>55</v>
      </c>
      <c r="F39" s="13" t="s">
        <v>181</v>
      </c>
      <c r="G39" s="13" t="s">
        <v>281</v>
      </c>
      <c r="H39" s="13" t="s">
        <v>182</v>
      </c>
      <c r="I39" t="s">
        <v>48</v>
      </c>
      <c r="J39" t="s">
        <v>124</v>
      </c>
      <c r="K39" t="str">
        <f t="shared" si="4"/>
        <v/>
      </c>
      <c r="L39" t="str">
        <f t="shared" si="6"/>
        <v>B</v>
      </c>
      <c r="M39" t="str">
        <f t="shared" si="5"/>
        <v/>
      </c>
      <c r="N39" t="str">
        <f t="shared" si="7"/>
        <v/>
      </c>
      <c r="O39" s="13" t="s">
        <v>56</v>
      </c>
    </row>
    <row r="40" spans="1:15">
      <c r="B40" s="12" t="s">
        <v>138</v>
      </c>
      <c r="C40" t="s">
        <v>55</v>
      </c>
      <c r="F40" s="13" t="s">
        <v>183</v>
      </c>
      <c r="G40" s="13" t="s">
        <v>281</v>
      </c>
      <c r="H40" s="13" t="s">
        <v>184</v>
      </c>
      <c r="I40" t="s">
        <v>48</v>
      </c>
      <c r="J40" t="s">
        <v>124</v>
      </c>
      <c r="K40" t="str">
        <f t="shared" si="4"/>
        <v/>
      </c>
      <c r="L40" t="str">
        <f t="shared" si="6"/>
        <v>B</v>
      </c>
      <c r="M40" t="str">
        <f t="shared" si="5"/>
        <v/>
      </c>
      <c r="N40" t="str">
        <f t="shared" si="7"/>
        <v/>
      </c>
      <c r="O40" s="13" t="s">
        <v>56</v>
      </c>
    </row>
    <row r="41" spans="1:15">
      <c r="B41" s="12" t="s">
        <v>138</v>
      </c>
      <c r="C41" t="s">
        <v>55</v>
      </c>
      <c r="F41" s="13" t="s">
        <v>187</v>
      </c>
      <c r="G41" s="13" t="s">
        <v>281</v>
      </c>
      <c r="H41" s="13" t="s">
        <v>186</v>
      </c>
      <c r="I41" t="s">
        <v>48</v>
      </c>
      <c r="J41" s="12" t="s">
        <v>125</v>
      </c>
      <c r="K41" t="str">
        <f t="shared" si="4"/>
        <v/>
      </c>
      <c r="L41" t="str">
        <f t="shared" si="6"/>
        <v/>
      </c>
      <c r="M41" t="str">
        <f t="shared" si="5"/>
        <v>C</v>
      </c>
      <c r="N41" t="str">
        <f t="shared" si="7"/>
        <v/>
      </c>
      <c r="O41" s="13" t="s">
        <v>96</v>
      </c>
    </row>
    <row r="42" spans="1:15">
      <c r="B42" s="12" t="s">
        <v>138</v>
      </c>
      <c r="C42" t="s">
        <v>55</v>
      </c>
      <c r="F42" s="13" t="s">
        <v>188</v>
      </c>
      <c r="G42" s="13" t="s">
        <v>281</v>
      </c>
      <c r="H42" s="13" t="s">
        <v>185</v>
      </c>
      <c r="I42" t="s">
        <v>48</v>
      </c>
      <c r="J42" s="12" t="s">
        <v>125</v>
      </c>
      <c r="K42" t="str">
        <f t="shared" si="4"/>
        <v/>
      </c>
      <c r="L42" t="str">
        <f t="shared" si="6"/>
        <v/>
      </c>
      <c r="M42" t="str">
        <f t="shared" si="5"/>
        <v>C</v>
      </c>
      <c r="N42" t="str">
        <f t="shared" si="7"/>
        <v/>
      </c>
      <c r="O42" s="13" t="s">
        <v>96</v>
      </c>
    </row>
    <row r="43" spans="1:15" ht="15">
      <c r="B43" s="12" t="s">
        <v>138</v>
      </c>
      <c r="C43" t="s">
        <v>51</v>
      </c>
      <c r="F43" s="13" t="s">
        <v>189</v>
      </c>
      <c r="G43" s="13" t="s">
        <v>281</v>
      </c>
      <c r="H43" s="11" t="s">
        <v>52</v>
      </c>
      <c r="I43" s="17" t="s">
        <v>53</v>
      </c>
      <c r="J43" t="s">
        <v>124</v>
      </c>
      <c r="K43" t="str">
        <f t="shared" si="4"/>
        <v/>
      </c>
      <c r="L43" t="str">
        <f t="shared" si="6"/>
        <v>B</v>
      </c>
      <c r="M43" t="str">
        <f t="shared" si="5"/>
        <v/>
      </c>
      <c r="N43" t="str">
        <f t="shared" si="7"/>
        <v/>
      </c>
      <c r="O43" s="20" t="s">
        <v>52</v>
      </c>
    </row>
    <row r="44" spans="1:15">
      <c r="A44" s="12" t="s">
        <v>279</v>
      </c>
      <c r="B44" s="12" t="s">
        <v>138</v>
      </c>
      <c r="C44" t="s">
        <v>104</v>
      </c>
      <c r="F44" s="13" t="s">
        <v>190</v>
      </c>
      <c r="G44" s="13" t="s">
        <v>2</v>
      </c>
      <c r="H44" s="11" t="s">
        <v>111</v>
      </c>
      <c r="I44" t="s">
        <v>240</v>
      </c>
      <c r="J44" t="s">
        <v>126</v>
      </c>
      <c r="K44" t="str">
        <f t="shared" si="4"/>
        <v/>
      </c>
      <c r="L44" t="str">
        <f t="shared" si="6"/>
        <v/>
      </c>
      <c r="M44" t="str">
        <f t="shared" si="5"/>
        <v/>
      </c>
      <c r="N44" t="str">
        <f t="shared" si="7"/>
        <v>D</v>
      </c>
      <c r="O44" s="18" t="s">
        <v>266</v>
      </c>
    </row>
    <row r="45" spans="1:15">
      <c r="A45" s="12" t="s">
        <v>279</v>
      </c>
      <c r="B45" s="12" t="s">
        <v>138</v>
      </c>
      <c r="C45" t="s">
        <v>104</v>
      </c>
      <c r="F45" s="13" t="s">
        <v>191</v>
      </c>
      <c r="G45" s="13" t="s">
        <v>2</v>
      </c>
      <c r="H45" s="11" t="s">
        <v>112</v>
      </c>
      <c r="I45" t="s">
        <v>240</v>
      </c>
      <c r="J45" t="s">
        <v>126</v>
      </c>
      <c r="K45" t="str">
        <f t="shared" si="4"/>
        <v/>
      </c>
      <c r="L45" t="str">
        <f t="shared" si="6"/>
        <v/>
      </c>
      <c r="M45" t="str">
        <f t="shared" si="5"/>
        <v/>
      </c>
      <c r="N45" t="str">
        <f t="shared" si="7"/>
        <v>D</v>
      </c>
      <c r="O45" s="18" t="s">
        <v>267</v>
      </c>
    </row>
    <row r="46" spans="1:15">
      <c r="A46" s="12" t="s">
        <v>279</v>
      </c>
      <c r="B46" s="12" t="s">
        <v>138</v>
      </c>
      <c r="C46" t="s">
        <v>104</v>
      </c>
      <c r="F46" s="13" t="s">
        <v>192</v>
      </c>
      <c r="G46" s="13" t="s">
        <v>2</v>
      </c>
      <c r="H46" s="13" t="s">
        <v>193</v>
      </c>
      <c r="I46" t="s">
        <v>240</v>
      </c>
      <c r="J46" t="s">
        <v>126</v>
      </c>
      <c r="K46" t="str">
        <f t="shared" si="4"/>
        <v/>
      </c>
      <c r="L46" t="str">
        <f t="shared" si="6"/>
        <v/>
      </c>
      <c r="M46" t="str">
        <f t="shared" si="5"/>
        <v/>
      </c>
      <c r="N46" t="str">
        <f t="shared" si="7"/>
        <v>D</v>
      </c>
      <c r="O46" s="13" t="s">
        <v>113</v>
      </c>
    </row>
    <row r="47" spans="1:15">
      <c r="A47" s="12" t="s">
        <v>279</v>
      </c>
      <c r="B47" s="12" t="s">
        <v>138</v>
      </c>
      <c r="C47" t="s">
        <v>104</v>
      </c>
      <c r="F47" s="13" t="s">
        <v>195</v>
      </c>
      <c r="G47" s="13" t="s">
        <v>2</v>
      </c>
      <c r="H47" s="13" t="s">
        <v>194</v>
      </c>
      <c r="I47" t="s">
        <v>240</v>
      </c>
      <c r="J47" t="s">
        <v>126</v>
      </c>
      <c r="K47" t="str">
        <f t="shared" si="4"/>
        <v/>
      </c>
      <c r="L47" t="str">
        <f t="shared" si="6"/>
        <v/>
      </c>
      <c r="M47" t="str">
        <f t="shared" si="5"/>
        <v/>
      </c>
      <c r="N47" t="str">
        <f t="shared" si="7"/>
        <v>D</v>
      </c>
      <c r="O47" s="13" t="s">
        <v>113</v>
      </c>
    </row>
    <row r="48" spans="1:15">
      <c r="A48" s="12" t="s">
        <v>279</v>
      </c>
      <c r="B48" s="12" t="s">
        <v>138</v>
      </c>
      <c r="C48" t="s">
        <v>104</v>
      </c>
      <c r="F48" s="13" t="s">
        <v>196</v>
      </c>
      <c r="G48" s="13" t="s">
        <v>2</v>
      </c>
      <c r="H48" s="13" t="s">
        <v>197</v>
      </c>
      <c r="I48" t="s">
        <v>240</v>
      </c>
      <c r="J48" t="s">
        <v>126</v>
      </c>
      <c r="K48" t="str">
        <f t="shared" si="4"/>
        <v/>
      </c>
      <c r="L48" t="str">
        <f t="shared" si="6"/>
        <v/>
      </c>
      <c r="M48" t="str">
        <f t="shared" si="5"/>
        <v/>
      </c>
      <c r="N48" t="str">
        <f t="shared" si="7"/>
        <v>D</v>
      </c>
      <c r="O48" s="13" t="s">
        <v>113</v>
      </c>
    </row>
    <row r="49" spans="1:15">
      <c r="A49" s="12" t="s">
        <v>279</v>
      </c>
      <c r="B49" s="12" t="s">
        <v>138</v>
      </c>
      <c r="C49" t="s">
        <v>104</v>
      </c>
      <c r="F49" s="13" t="s">
        <v>198</v>
      </c>
      <c r="G49" s="13" t="s">
        <v>2</v>
      </c>
      <c r="H49" s="13" t="s">
        <v>199</v>
      </c>
      <c r="I49" t="s">
        <v>240</v>
      </c>
      <c r="J49" t="s">
        <v>126</v>
      </c>
      <c r="K49" t="str">
        <f t="shared" si="4"/>
        <v/>
      </c>
      <c r="L49" t="str">
        <f t="shared" si="6"/>
        <v/>
      </c>
      <c r="M49" t="str">
        <f t="shared" si="5"/>
        <v/>
      </c>
      <c r="N49" t="str">
        <f t="shared" si="7"/>
        <v>D</v>
      </c>
      <c r="O49" s="13" t="s">
        <v>113</v>
      </c>
    </row>
    <row r="50" spans="1:15">
      <c r="A50" s="12" t="s">
        <v>279</v>
      </c>
      <c r="B50" s="12" t="s">
        <v>138</v>
      </c>
      <c r="C50" t="s">
        <v>104</v>
      </c>
      <c r="F50" s="13" t="s">
        <v>200</v>
      </c>
      <c r="G50" s="13" t="s">
        <v>2</v>
      </c>
      <c r="H50" s="13" t="s">
        <v>201</v>
      </c>
      <c r="I50" t="s">
        <v>240</v>
      </c>
      <c r="J50" t="s">
        <v>126</v>
      </c>
      <c r="K50" t="str">
        <f t="shared" si="4"/>
        <v/>
      </c>
      <c r="L50" t="str">
        <f t="shared" si="6"/>
        <v/>
      </c>
      <c r="M50" t="str">
        <f t="shared" si="5"/>
        <v/>
      </c>
      <c r="N50" t="str">
        <f t="shared" si="7"/>
        <v>D</v>
      </c>
      <c r="O50" s="13" t="s">
        <v>113</v>
      </c>
    </row>
    <row r="51" spans="1:15">
      <c r="A51" s="12" t="s">
        <v>279</v>
      </c>
      <c r="B51" s="12" t="s">
        <v>138</v>
      </c>
      <c r="C51" t="s">
        <v>104</v>
      </c>
      <c r="F51" s="13" t="s">
        <v>202</v>
      </c>
      <c r="G51" s="13" t="s">
        <v>2</v>
      </c>
      <c r="H51" s="13" t="s">
        <v>203</v>
      </c>
      <c r="I51" t="s">
        <v>240</v>
      </c>
      <c r="J51" t="s">
        <v>126</v>
      </c>
      <c r="K51" t="str">
        <f t="shared" si="4"/>
        <v/>
      </c>
      <c r="L51" t="str">
        <f t="shared" si="6"/>
        <v/>
      </c>
      <c r="M51" t="str">
        <f t="shared" si="5"/>
        <v/>
      </c>
      <c r="N51" t="str">
        <f t="shared" si="7"/>
        <v>D</v>
      </c>
      <c r="O51" s="13" t="s">
        <v>113</v>
      </c>
    </row>
    <row r="52" spans="1:15">
      <c r="B52" s="12" t="s">
        <v>138</v>
      </c>
      <c r="C52" t="s">
        <v>104</v>
      </c>
      <c r="F52" s="13" t="s">
        <v>211</v>
      </c>
      <c r="G52" s="13" t="s">
        <v>281</v>
      </c>
      <c r="H52" s="13" t="s">
        <v>204</v>
      </c>
      <c r="I52" s="13" t="s">
        <v>106</v>
      </c>
      <c r="J52" t="s">
        <v>126</v>
      </c>
      <c r="K52" t="str">
        <f t="shared" si="4"/>
        <v/>
      </c>
      <c r="L52" t="str">
        <f t="shared" si="6"/>
        <v/>
      </c>
      <c r="M52" t="str">
        <f t="shared" si="5"/>
        <v/>
      </c>
      <c r="N52" t="str">
        <f t="shared" si="7"/>
        <v>D</v>
      </c>
      <c r="O52" s="18" t="s">
        <v>109</v>
      </c>
    </row>
    <row r="53" spans="1:15">
      <c r="B53" s="12" t="s">
        <v>138</v>
      </c>
      <c r="C53" t="s">
        <v>104</v>
      </c>
      <c r="F53" s="13" t="s">
        <v>210</v>
      </c>
      <c r="G53" s="13" t="s">
        <v>281</v>
      </c>
      <c r="H53" s="13" t="s">
        <v>205</v>
      </c>
      <c r="I53" t="s">
        <v>43</v>
      </c>
      <c r="J53" t="s">
        <v>126</v>
      </c>
      <c r="K53" t="str">
        <f t="shared" si="4"/>
        <v/>
      </c>
      <c r="L53" t="str">
        <f t="shared" si="6"/>
        <v/>
      </c>
      <c r="M53" t="str">
        <f t="shared" si="5"/>
        <v/>
      </c>
      <c r="N53" t="str">
        <f t="shared" si="7"/>
        <v>D</v>
      </c>
      <c r="O53" s="18" t="s">
        <v>109</v>
      </c>
    </row>
    <row r="54" spans="1:15">
      <c r="B54" s="12" t="s">
        <v>138</v>
      </c>
      <c r="C54" t="s">
        <v>104</v>
      </c>
      <c r="F54" s="13" t="s">
        <v>209</v>
      </c>
      <c r="G54" s="13" t="s">
        <v>281</v>
      </c>
      <c r="H54" s="13" t="s">
        <v>206</v>
      </c>
      <c r="I54" s="11" t="s">
        <v>106</v>
      </c>
      <c r="J54" t="s">
        <v>126</v>
      </c>
      <c r="K54" t="str">
        <f t="shared" si="4"/>
        <v/>
      </c>
      <c r="L54" t="str">
        <f t="shared" si="6"/>
        <v/>
      </c>
      <c r="M54" t="str">
        <f t="shared" si="5"/>
        <v/>
      </c>
      <c r="N54" t="str">
        <f t="shared" si="7"/>
        <v>D</v>
      </c>
      <c r="O54" s="18" t="s">
        <v>109</v>
      </c>
    </row>
    <row r="55" spans="1:15">
      <c r="B55" s="12" t="s">
        <v>138</v>
      </c>
      <c r="C55" t="s">
        <v>104</v>
      </c>
      <c r="F55" s="13" t="s">
        <v>208</v>
      </c>
      <c r="G55" s="13" t="s">
        <v>281</v>
      </c>
      <c r="H55" s="13" t="s">
        <v>207</v>
      </c>
      <c r="I55" t="s">
        <v>43</v>
      </c>
      <c r="J55" t="s">
        <v>126</v>
      </c>
      <c r="K55" t="str">
        <f t="shared" si="4"/>
        <v/>
      </c>
      <c r="L55" t="str">
        <f t="shared" si="6"/>
        <v/>
      </c>
      <c r="M55" t="str">
        <f t="shared" si="5"/>
        <v/>
      </c>
      <c r="N55" t="str">
        <f t="shared" si="7"/>
        <v>D</v>
      </c>
      <c r="O55" s="18" t="s">
        <v>109</v>
      </c>
    </row>
    <row r="56" spans="1:15">
      <c r="A56" s="12" t="s">
        <v>279</v>
      </c>
      <c r="B56" s="12" t="s">
        <v>138</v>
      </c>
      <c r="C56" t="s">
        <v>104</v>
      </c>
      <c r="F56" s="13" t="s">
        <v>212</v>
      </c>
      <c r="G56" s="13" t="s">
        <v>2</v>
      </c>
      <c r="H56" s="11" t="s">
        <v>110</v>
      </c>
      <c r="I56" t="s">
        <v>240</v>
      </c>
      <c r="J56" t="s">
        <v>126</v>
      </c>
      <c r="K56" t="str">
        <f t="shared" si="4"/>
        <v/>
      </c>
      <c r="L56" t="str">
        <f t="shared" si="6"/>
        <v/>
      </c>
      <c r="M56" t="str">
        <f t="shared" si="5"/>
        <v/>
      </c>
      <c r="N56" t="str">
        <f t="shared" si="7"/>
        <v>D</v>
      </c>
      <c r="O56" s="20" t="s">
        <v>265</v>
      </c>
    </row>
    <row r="57" spans="1:15">
      <c r="B57" s="12" t="s">
        <v>138</v>
      </c>
      <c r="C57" t="s">
        <v>104</v>
      </c>
      <c r="F57" s="13" t="s">
        <v>221</v>
      </c>
      <c r="G57" s="13" t="s">
        <v>281</v>
      </c>
      <c r="H57" s="13" t="s">
        <v>213</v>
      </c>
      <c r="I57" t="s">
        <v>106</v>
      </c>
      <c r="J57" t="s">
        <v>126</v>
      </c>
      <c r="K57" t="str">
        <f t="shared" si="4"/>
        <v/>
      </c>
      <c r="L57" t="str">
        <f t="shared" si="6"/>
        <v/>
      </c>
      <c r="M57" t="str">
        <f t="shared" si="5"/>
        <v/>
      </c>
      <c r="N57" t="str">
        <f t="shared" si="7"/>
        <v>D</v>
      </c>
      <c r="O57" s="13" t="s">
        <v>107</v>
      </c>
    </row>
    <row r="58" spans="1:15">
      <c r="B58" s="12" t="s">
        <v>138</v>
      </c>
      <c r="C58" t="s">
        <v>104</v>
      </c>
      <c r="F58" s="13" t="s">
        <v>238</v>
      </c>
      <c r="G58" s="13" t="s">
        <v>281</v>
      </c>
      <c r="H58" s="13" t="s">
        <v>214</v>
      </c>
      <c r="I58" t="s">
        <v>43</v>
      </c>
      <c r="J58" t="s">
        <v>126</v>
      </c>
      <c r="K58" t="str">
        <f t="shared" ref="K58:K70" si="8">IF(TRIM($J58)="A","A","")</f>
        <v/>
      </c>
      <c r="L58" t="str">
        <f t="shared" ref="L58:L70" si="9">IF(TRIM($J58)="B","B","")</f>
        <v/>
      </c>
      <c r="M58" t="str">
        <f t="shared" ref="M58:M70" si="10">IF(TRIM($J58)="C","C","")</f>
        <v/>
      </c>
      <c r="N58" t="str">
        <f t="shared" ref="N58:N70" si="11">IF(TRIM($J58)="D","D","")</f>
        <v>D</v>
      </c>
      <c r="O58" s="13" t="s">
        <v>107</v>
      </c>
    </row>
    <row r="59" spans="1:15">
      <c r="B59" s="12" t="s">
        <v>138</v>
      </c>
      <c r="C59" t="s">
        <v>104</v>
      </c>
      <c r="F59" s="13" t="s">
        <v>222</v>
      </c>
      <c r="G59" s="13" t="s">
        <v>281</v>
      </c>
      <c r="H59" s="13" t="s">
        <v>215</v>
      </c>
      <c r="I59" t="s">
        <v>106</v>
      </c>
      <c r="J59" t="s">
        <v>126</v>
      </c>
      <c r="K59" t="str">
        <f t="shared" si="8"/>
        <v/>
      </c>
      <c r="L59" t="str">
        <f t="shared" si="9"/>
        <v/>
      </c>
      <c r="M59" t="str">
        <f t="shared" si="10"/>
        <v/>
      </c>
      <c r="N59" t="str">
        <f t="shared" si="11"/>
        <v>D</v>
      </c>
      <c r="O59" s="13" t="s">
        <v>107</v>
      </c>
    </row>
    <row r="60" spans="1:15">
      <c r="B60" s="12" t="s">
        <v>138</v>
      </c>
      <c r="C60" t="s">
        <v>104</v>
      </c>
      <c r="F60" s="13" t="s">
        <v>223</v>
      </c>
      <c r="G60" s="13" t="s">
        <v>281</v>
      </c>
      <c r="H60" s="13" t="s">
        <v>216</v>
      </c>
      <c r="I60" t="s">
        <v>43</v>
      </c>
      <c r="J60" t="s">
        <v>126</v>
      </c>
      <c r="K60" t="str">
        <f t="shared" si="8"/>
        <v/>
      </c>
      <c r="L60" t="str">
        <f t="shared" si="9"/>
        <v/>
      </c>
      <c r="M60" t="str">
        <f t="shared" si="10"/>
        <v/>
      </c>
      <c r="N60" t="str">
        <f t="shared" si="11"/>
        <v>D</v>
      </c>
      <c r="O60" s="13" t="s">
        <v>107</v>
      </c>
    </row>
    <row r="61" spans="1:15">
      <c r="B61" s="12" t="s">
        <v>138</v>
      </c>
      <c r="C61" t="s">
        <v>104</v>
      </c>
      <c r="F61" s="13" t="s">
        <v>237</v>
      </c>
      <c r="G61" s="13" t="s">
        <v>281</v>
      </c>
      <c r="H61" s="13" t="s">
        <v>217</v>
      </c>
      <c r="I61" t="s">
        <v>106</v>
      </c>
      <c r="J61" t="s">
        <v>126</v>
      </c>
      <c r="K61" t="str">
        <f t="shared" si="8"/>
        <v/>
      </c>
      <c r="L61" t="str">
        <f t="shared" si="9"/>
        <v/>
      </c>
      <c r="M61" t="str">
        <f t="shared" si="10"/>
        <v/>
      </c>
      <c r="N61" t="str">
        <f t="shared" si="11"/>
        <v>D</v>
      </c>
      <c r="O61" s="13" t="s">
        <v>107</v>
      </c>
    </row>
    <row r="62" spans="1:15">
      <c r="B62" s="12" t="s">
        <v>138</v>
      </c>
      <c r="C62" t="s">
        <v>104</v>
      </c>
      <c r="F62" s="13" t="s">
        <v>224</v>
      </c>
      <c r="G62" s="13" t="s">
        <v>281</v>
      </c>
      <c r="H62" s="13" t="s">
        <v>218</v>
      </c>
      <c r="I62" t="s">
        <v>43</v>
      </c>
      <c r="J62" t="s">
        <v>126</v>
      </c>
      <c r="K62" t="str">
        <f t="shared" si="8"/>
        <v/>
      </c>
      <c r="L62" t="str">
        <f t="shared" si="9"/>
        <v/>
      </c>
      <c r="M62" t="str">
        <f t="shared" si="10"/>
        <v/>
      </c>
      <c r="N62" t="str">
        <f t="shared" si="11"/>
        <v>D</v>
      </c>
      <c r="O62" s="13" t="s">
        <v>107</v>
      </c>
    </row>
    <row r="63" spans="1:15">
      <c r="B63" s="12" t="s">
        <v>138</v>
      </c>
      <c r="C63" t="s">
        <v>104</v>
      </c>
      <c r="F63" s="13" t="s">
        <v>225</v>
      </c>
      <c r="G63" s="13" t="s">
        <v>281</v>
      </c>
      <c r="H63" s="13" t="s">
        <v>219</v>
      </c>
      <c r="I63" t="s">
        <v>106</v>
      </c>
      <c r="J63" t="s">
        <v>126</v>
      </c>
      <c r="K63" t="str">
        <f t="shared" si="8"/>
        <v/>
      </c>
      <c r="L63" t="str">
        <f t="shared" si="9"/>
        <v/>
      </c>
      <c r="M63" t="str">
        <f t="shared" si="10"/>
        <v/>
      </c>
      <c r="N63" t="str">
        <f t="shared" si="11"/>
        <v>D</v>
      </c>
      <c r="O63" s="13" t="s">
        <v>107</v>
      </c>
    </row>
    <row r="64" spans="1:15">
      <c r="B64" s="12" t="s">
        <v>138</v>
      </c>
      <c r="C64" t="s">
        <v>104</v>
      </c>
      <c r="F64" s="13" t="s">
        <v>226</v>
      </c>
      <c r="G64" s="13" t="s">
        <v>281</v>
      </c>
      <c r="H64" s="13" t="s">
        <v>220</v>
      </c>
      <c r="I64" t="s">
        <v>43</v>
      </c>
      <c r="J64" t="s">
        <v>126</v>
      </c>
      <c r="K64" t="str">
        <f t="shared" si="8"/>
        <v/>
      </c>
      <c r="L64" t="str">
        <f t="shared" si="9"/>
        <v/>
      </c>
      <c r="M64" t="str">
        <f t="shared" si="10"/>
        <v/>
      </c>
      <c r="N64" t="str">
        <f t="shared" si="11"/>
        <v>D</v>
      </c>
      <c r="O64" s="13" t="s">
        <v>107</v>
      </c>
    </row>
    <row r="65" spans="2:15">
      <c r="B65" s="12" t="s">
        <v>138</v>
      </c>
      <c r="C65" t="s">
        <v>104</v>
      </c>
      <c r="F65" s="13" t="s">
        <v>227</v>
      </c>
      <c r="G65" s="13" t="s">
        <v>281</v>
      </c>
      <c r="H65" s="13" t="s">
        <v>229</v>
      </c>
      <c r="I65" t="s">
        <v>106</v>
      </c>
      <c r="J65" t="s">
        <v>126</v>
      </c>
      <c r="K65" t="str">
        <f t="shared" si="8"/>
        <v/>
      </c>
      <c r="L65" t="str">
        <f t="shared" si="9"/>
        <v/>
      </c>
      <c r="M65" t="str">
        <f t="shared" si="10"/>
        <v/>
      </c>
      <c r="N65" t="str">
        <f t="shared" si="11"/>
        <v>D</v>
      </c>
      <c r="O65" s="18" t="s">
        <v>105</v>
      </c>
    </row>
    <row r="66" spans="2:15">
      <c r="B66" s="12" t="s">
        <v>138</v>
      </c>
      <c r="C66" t="s">
        <v>104</v>
      </c>
      <c r="F66" s="13" t="s">
        <v>228</v>
      </c>
      <c r="G66" s="13" t="s">
        <v>281</v>
      </c>
      <c r="H66" s="13" t="s">
        <v>230</v>
      </c>
      <c r="I66" t="s">
        <v>43</v>
      </c>
      <c r="J66" t="s">
        <v>126</v>
      </c>
      <c r="K66" t="str">
        <f t="shared" si="8"/>
        <v/>
      </c>
      <c r="L66" t="str">
        <f t="shared" si="9"/>
        <v/>
      </c>
      <c r="M66" t="str">
        <f t="shared" si="10"/>
        <v/>
      </c>
      <c r="N66" t="str">
        <f t="shared" si="11"/>
        <v>D</v>
      </c>
      <c r="O66" s="20" t="s">
        <v>105</v>
      </c>
    </row>
    <row r="67" spans="2:15">
      <c r="B67" s="12" t="s">
        <v>138</v>
      </c>
      <c r="C67" t="s">
        <v>104</v>
      </c>
      <c r="F67" s="13" t="s">
        <v>231</v>
      </c>
      <c r="G67" s="13" t="s">
        <v>281</v>
      </c>
      <c r="H67" s="13" t="s">
        <v>233</v>
      </c>
      <c r="I67" t="s">
        <v>106</v>
      </c>
      <c r="J67" t="s">
        <v>126</v>
      </c>
      <c r="K67" t="str">
        <f t="shared" si="8"/>
        <v/>
      </c>
      <c r="L67" t="str">
        <f t="shared" si="9"/>
        <v/>
      </c>
      <c r="M67" t="str">
        <f t="shared" si="10"/>
        <v/>
      </c>
      <c r="N67" t="str">
        <f t="shared" si="11"/>
        <v>D</v>
      </c>
      <c r="O67" s="18" t="s">
        <v>108</v>
      </c>
    </row>
    <row r="68" spans="2:15">
      <c r="B68" s="12" t="s">
        <v>138</v>
      </c>
      <c r="C68" t="s">
        <v>104</v>
      </c>
      <c r="F68" s="13" t="s">
        <v>232</v>
      </c>
      <c r="G68" s="13" t="s">
        <v>281</v>
      </c>
      <c r="H68" s="13" t="s">
        <v>234</v>
      </c>
      <c r="I68" t="s">
        <v>43</v>
      </c>
      <c r="J68" t="s">
        <v>126</v>
      </c>
      <c r="K68" t="str">
        <f t="shared" si="8"/>
        <v/>
      </c>
      <c r="L68" t="str">
        <f t="shared" si="9"/>
        <v/>
      </c>
      <c r="M68" t="str">
        <f t="shared" si="10"/>
        <v/>
      </c>
      <c r="N68" t="str">
        <f t="shared" si="11"/>
        <v>D</v>
      </c>
      <c r="O68" s="18" t="s">
        <v>108</v>
      </c>
    </row>
    <row r="69" spans="2:15">
      <c r="B69" s="12" t="s">
        <v>138</v>
      </c>
      <c r="C69" t="s">
        <v>23</v>
      </c>
      <c r="F69" s="13" t="s">
        <v>235</v>
      </c>
      <c r="G69" s="13" t="s">
        <v>281</v>
      </c>
      <c r="H69" s="11" t="s">
        <v>24</v>
      </c>
      <c r="I69" t="s">
        <v>25</v>
      </c>
      <c r="J69" s="12" t="s">
        <v>123</v>
      </c>
      <c r="K69" t="str">
        <f t="shared" si="8"/>
        <v>A</v>
      </c>
      <c r="L69" t="str">
        <f t="shared" si="9"/>
        <v/>
      </c>
      <c r="M69" t="str">
        <f t="shared" si="10"/>
        <v/>
      </c>
      <c r="N69" t="str">
        <f t="shared" si="11"/>
        <v/>
      </c>
    </row>
    <row r="70" spans="2:15">
      <c r="B70" s="12" t="s">
        <v>138</v>
      </c>
      <c r="C70" t="s">
        <v>81</v>
      </c>
      <c r="F70" s="13" t="s">
        <v>236</v>
      </c>
      <c r="G70" s="13" t="s">
        <v>281</v>
      </c>
      <c r="H70" s="11" t="s">
        <v>82</v>
      </c>
      <c r="I70" s="12" t="s">
        <v>25</v>
      </c>
      <c r="J70" s="12" t="s">
        <v>125</v>
      </c>
      <c r="K70" t="str">
        <f t="shared" si="8"/>
        <v/>
      </c>
      <c r="L70" t="str">
        <f t="shared" si="9"/>
        <v/>
      </c>
      <c r="M70" t="str">
        <f t="shared" si="10"/>
        <v>C</v>
      </c>
      <c r="N70" t="str">
        <f t="shared" si="11"/>
        <v/>
      </c>
    </row>
  </sheetData>
  <autoFilter ref="K1:N70" xr:uid="{B44C6ABF-E1E2-4B84-87D8-7A47DF4DE61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Top Concept</vt:lpstr>
      <vt:lpstr>Properties Valid</vt:lpstr>
      <vt:lpstr>Methods</vt:lpstr>
      <vt:lpstr>Collections</vt:lpstr>
      <vt:lpstr>Sheet7</vt:lpstr>
      <vt:lpstr>Sheet6</vt:lpstr>
      <vt:lpstr>Sheet5</vt:lpstr>
      <vt:lpstr>Methods List</vt:lpstr>
      <vt:lpstr>Soil Properties List</vt:lpstr>
      <vt:lpstr>Properties 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Kathi Schleidt</dc:creator>
  <cp:lastModifiedBy>Kathi Schleidt</cp:lastModifiedBy>
  <dcterms:created xsi:type="dcterms:W3CDTF">2026-10-18T10:26:47Z</dcterms:created>
  <dcterms:modified xsi:type="dcterms:W3CDTF">2026-10-23T11:02:54Z</dcterms:modified>
</cp:coreProperties>
</file>